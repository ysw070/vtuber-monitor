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버추얼 그룹 전수목록" sheetId="1" state="visible" r:id="rId1"/>
    <sheet xmlns:r="http://schemas.openxmlformats.org/officeDocument/2006/relationships" name="소속사·운영사 정리" sheetId="2" state="visible" r:id="rId2"/>
    <sheet xmlns:r="http://schemas.openxmlformats.org/officeDocument/2006/relationships" name="요약 통계" sheetId="3" state="visible" r:id="rId3"/>
    <sheet xmlns:r="http://schemas.openxmlformats.org/officeDocument/2006/relationships" name="데뷔예정·신규(2026)" sheetId="4" state="visible" r:id="rId4"/>
    <sheet xmlns:r="http://schemas.openxmlformats.org/officeDocument/2006/relationships" name="개인세(무소속) 기준안+시드" sheetId="5" state="visible" r:id="rId5"/>
    <sheet xmlns:r="http://schemas.openxmlformats.org/officeDocument/2006/relationships" name="개인세 수집PoC(3만+)" sheetId="6" state="visible" r:id="rId6"/>
    <sheet xmlns:r="http://schemas.openxmlformats.org/officeDocument/2006/relationships"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6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0" t="inlineStr">
        <is>
          <t>활동중</t>
        </is>
      </c>
      <c r="H43" s="51" t="n"/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0" t="inlineStr">
        <is>
          <t>활동중</t>
        </is>
      </c>
      <c r="H53" s="51" t="n"/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데뷔. 2024.2 치지직 이적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0" t="inlineStr">
        <is>
          <t>활동중</t>
        </is>
      </c>
      <c r="H59" s="51" t="n"/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0" t="inlineStr">
        <is>
          <t>활동중</t>
        </is>
      </c>
      <c r="H61" s="51" t="n"/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87" t="n">
        <v>124</v>
      </c>
      <c r="B127" s="88" t="inlineStr">
        <is>
          <t>오위스</t>
        </is>
      </c>
      <c r="C127" s="87" t="inlineStr">
        <is>
          <t>OWIS</t>
        </is>
      </c>
      <c r="D127" s="88" t="inlineStr">
        <is>
          <t>올마이애닉도츠(ama)</t>
        </is>
      </c>
      <c r="E127" s="87" t="inlineStr">
        <is>
          <t>2026</t>
        </is>
      </c>
      <c r="F127" s="89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87" t="n">
        <v>125</v>
      </c>
      <c r="B128" s="88" t="inlineStr">
        <is>
          <t>우주괴담</t>
        </is>
      </c>
      <c r="C128" s="87" t="inlineStr">
        <is>
          <t>SPACE HORROR</t>
        </is>
      </c>
      <c r="D128" s="88" t="inlineStr">
        <is>
          <t>그림 프로덕션(마운드미디어)</t>
        </is>
      </c>
      <c r="E128" s="87" t="inlineStr">
        <is>
          <t>2026</t>
        </is>
      </c>
      <c r="F128" s="92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87" t="n">
        <v>126</v>
      </c>
      <c r="B129" s="88" t="inlineStr">
        <is>
          <t>미완소년</t>
        </is>
      </c>
      <c r="C129" s="87" t="inlineStr">
        <is>
          <t>美完少年</t>
        </is>
      </c>
      <c r="D129" s="88" t="inlineStr">
        <is>
          <t>어비스컴퍼니</t>
        </is>
      </c>
      <c r="E129" s="87" t="inlineStr">
        <is>
          <t>2026</t>
        </is>
      </c>
      <c r="F129" s="89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87" t="n">
        <v>127</v>
      </c>
      <c r="B130" s="88" t="inlineStr">
        <is>
          <t>이브닛</t>
        </is>
      </c>
      <c r="C130" s="87" t="inlineStr">
        <is>
          <t>IVNIT</t>
        </is>
      </c>
      <c r="D130" s="88" t="inlineStr">
        <is>
          <t>아카이브 스튜디오(AkaiV Studio)</t>
        </is>
      </c>
      <c r="E130" s="87" t="inlineStr">
        <is>
          <t>2025</t>
        </is>
      </c>
      <c r="F130" s="8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87" t="n">
        <v>128</v>
      </c>
      <c r="B131" s="88" t="inlineStr">
        <is>
          <t>수소진</t>
        </is>
      </c>
      <c r="C131" s="87" t="inlineStr">
        <is>
          <t>SOOSOJIN</t>
        </is>
      </c>
      <c r="D131" s="88" t="inlineStr">
        <is>
          <t>브라더후드 엔터테인먼트(제작 로코베리)</t>
        </is>
      </c>
      <c r="E131" s="87" t="inlineStr">
        <is>
          <t>2025</t>
        </is>
      </c>
      <c r="F131" s="8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87" t="n">
        <v>129</v>
      </c>
      <c r="B132" s="88" t="inlineStr">
        <is>
          <t>스파클즈</t>
        </is>
      </c>
      <c r="C132" s="87" t="inlineStr">
        <is>
          <t>SPAKLZ</t>
        </is>
      </c>
      <c r="D132" s="88" t="inlineStr">
        <is>
          <t>레진엔터테인먼트</t>
        </is>
      </c>
      <c r="E132" s="87" t="inlineStr">
        <is>
          <t>2025</t>
        </is>
      </c>
      <c r="F132" s="8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87" t="n">
        <v>130</v>
      </c>
      <c r="B133" s="88" t="inlineStr">
        <is>
          <t>헥시아</t>
        </is>
      </c>
      <c r="C133" s="87" t="inlineStr">
        <is>
          <t>HEXIA</t>
        </is>
      </c>
      <c r="D133" s="88" t="inlineStr">
        <is>
          <t>스콘(SCON)</t>
        </is>
      </c>
      <c r="E133" s="8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87" t="n">
        <v>131</v>
      </c>
      <c r="B134" s="88" t="inlineStr">
        <is>
          <t>h.a.l.o</t>
        </is>
      </c>
      <c r="C134" s="87" t="inlineStr">
        <is>
          <t>헤일로</t>
        </is>
      </c>
      <c r="D134" s="88" t="inlineStr">
        <is>
          <t>스콘(SCON)</t>
        </is>
      </c>
      <c r="E134" s="87" t="inlineStr">
        <is>
          <t>2026</t>
        </is>
      </c>
      <c r="F134" s="92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87" t="n">
        <v>132</v>
      </c>
      <c r="B135" s="88" t="inlineStr">
        <is>
          <t>제나</t>
        </is>
      </c>
      <c r="C135" s="87" t="inlineStr">
        <is>
          <t>JENA</t>
        </is>
      </c>
      <c r="D135" s="88" t="inlineStr">
        <is>
          <t>뮤즈온</t>
        </is>
      </c>
      <c r="E135" s="8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87" t="n">
        <v>133</v>
      </c>
      <c r="B136" s="88" t="inlineStr">
        <is>
          <t>청솔</t>
        </is>
      </c>
      <c r="C136" s="87" t="inlineStr">
        <is>
          <t>CHEONGSOL</t>
        </is>
      </c>
      <c r="D136" s="88" t="inlineStr">
        <is>
          <t>(미확인)</t>
        </is>
      </c>
      <c r="E136" s="8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87" t="n">
        <v>134</v>
      </c>
      <c r="B137" s="88" t="inlineStr">
        <is>
          <t>아이시아</t>
        </is>
      </c>
      <c r="C137" s="87" t="inlineStr">
        <is>
          <t>IXIA</t>
        </is>
      </c>
      <c r="D137" s="88" t="inlineStr">
        <is>
          <t>(미확인)</t>
        </is>
      </c>
      <c r="E137" s="87" t="inlineStr">
        <is>
          <t>2025</t>
        </is>
      </c>
      <c r="F137" s="8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87" t="n">
        <v>135</v>
      </c>
      <c r="B138" s="88" t="inlineStr">
        <is>
          <t>클루즈</t>
        </is>
      </c>
      <c r="C138" s="87" t="inlineStr">
        <is>
          <t>CLUEZ</t>
        </is>
      </c>
      <c r="D138" s="88" t="inlineStr">
        <is>
          <t>카론 유니버스(카론 크리에이티브)</t>
        </is>
      </c>
      <c r="E138" s="87" t="inlineStr">
        <is>
          <t>2025</t>
        </is>
      </c>
      <c r="F138" s="8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87" t="n">
        <v>136</v>
      </c>
      <c r="B139" s="88" t="inlineStr">
        <is>
          <t>루나데이즈</t>
        </is>
      </c>
      <c r="C139" s="87" t="inlineStr">
        <is>
          <t>LUNADAYS</t>
        </is>
      </c>
      <c r="D139" s="88" t="inlineStr">
        <is>
          <t>루나데이즈(개인사업자 MCN)</t>
        </is>
      </c>
      <c r="E139" s="8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87" t="n">
        <v>137</v>
      </c>
      <c r="B140" s="88" t="inlineStr">
        <is>
          <t>애프터라이브</t>
        </is>
      </c>
      <c r="C140" s="87" t="inlineStr">
        <is>
          <t>AfterLive</t>
        </is>
      </c>
      <c r="D140" s="88" t="inlineStr">
        <is>
          <t>애프터라이브(자체 런칭)</t>
        </is>
      </c>
      <c r="E140" s="8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87" t="n">
        <v>138</v>
      </c>
      <c r="B141" s="88" t="inlineStr">
        <is>
          <t>벨로디</t>
        </is>
      </c>
      <c r="C141" s="87" t="inlineStr">
        <is>
          <t>VELODY</t>
        </is>
      </c>
      <c r="D141" s="88" t="inlineStr">
        <is>
          <t>벨로디(자체 런칭)</t>
        </is>
      </c>
      <c r="E141" s="8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87" t="n">
        <v>139</v>
      </c>
      <c r="B142" s="88" t="inlineStr">
        <is>
          <t>아르포나</t>
        </is>
      </c>
      <c r="C142" s="87" t="inlineStr">
        <is>
          <t>Arfauna</t>
        </is>
      </c>
      <c r="D142" s="88" t="inlineStr">
        <is>
          <t>아르포나(버추얼 기획사)</t>
        </is>
      </c>
      <c r="E142" s="8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87" t="n">
        <v>140</v>
      </c>
      <c r="B143" s="88" t="inlineStr">
        <is>
          <t>바라바라</t>
        </is>
      </c>
      <c r="C143" s="87" t="inlineStr">
        <is>
          <t>BARABARA</t>
        </is>
      </c>
      <c r="D143" s="88" t="inlineStr">
        <is>
          <t>보쿠하이</t>
        </is>
      </c>
      <c r="E143" s="8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87" t="n">
        <v>141</v>
      </c>
      <c r="B144" s="88" t="inlineStr">
        <is>
          <t>신디에잇</t>
        </is>
      </c>
      <c r="C144" s="87" t="inlineStr">
        <is>
          <t>SYNDI8</t>
        </is>
      </c>
      <c r="D144" s="88" t="inlineStr">
        <is>
          <t>수퍼톤(HYBE 자회사)</t>
        </is>
      </c>
      <c r="E144" s="87" t="inlineStr">
        <is>
          <t>2024</t>
        </is>
      </c>
      <c r="F144" s="8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87" t="n">
        <v>142</v>
      </c>
      <c r="B145" s="88" t="inlineStr">
        <is>
          <t>피버스</t>
        </is>
      </c>
      <c r="C145" s="87" t="inlineStr">
        <is>
          <t>Feverse</t>
        </is>
      </c>
      <c r="D145" s="88" t="inlineStr">
        <is>
          <t>카카오엔터테인먼트</t>
        </is>
      </c>
      <c r="E145" s="87" t="inlineStr">
        <is>
          <t>2023</t>
        </is>
      </c>
      <c r="F145" s="92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87" t="n">
        <v>143</v>
      </c>
      <c r="B146" s="88" t="inlineStr">
        <is>
          <t>이진법소년들</t>
        </is>
      </c>
      <c r="C146" s="87" t="inlineStr">
        <is>
          <t>ØXONE</t>
        </is>
      </c>
      <c r="D146" s="88" t="inlineStr">
        <is>
          <t>완구 기업(유통 워너뮤직 ADA)</t>
        </is>
      </c>
      <c r="E146" s="87" t="inlineStr">
        <is>
          <t>2023</t>
        </is>
      </c>
      <c r="F146" s="8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87" t="n">
        <v>144</v>
      </c>
      <c r="B147" s="88" t="inlineStr">
        <is>
          <t>홀린</t>
        </is>
      </c>
      <c r="C147" s="87" t="inlineStr">
        <is>
          <t>WhOLLiN</t>
        </is>
      </c>
      <c r="D147" s="88" t="inlineStr">
        <is>
          <t>플레이리스트(PLAYLIST)</t>
        </is>
      </c>
      <c r="E147" s="87" t="inlineStr">
        <is>
          <t>2026</t>
        </is>
      </c>
      <c r="F147" s="8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전수목록'!B4:B126)</f>
        <v/>
      </c>
    </row>
    <row r="4" ht="15" customHeight="1" s="41">
      <c r="A4" s="71" t="inlineStr">
        <is>
          <t>활동중</t>
        </is>
      </c>
      <c r="B4" s="46">
        <f>COUNTIF('버추얼 그룹 전수목록'!G4:G126,"활동중")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전수목록'!G4:G126,"해체/종료")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전수목록'!G4:G126,"전환")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전수목록'!G4:G126,"확인필요")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전수목록'!G4:G126,"휴면")</f>
        <v/>
      </c>
    </row>
    <row r="9" ht="15" customHeight="1" s="41">
      <c r="A9" s="71" t="inlineStr">
        <is>
          <t>─ 분류별 ─</t>
        </is>
      </c>
      <c r="B9" s="46" t="n"/>
    </row>
    <row r="10" ht="15" customHeight="1" s="41">
      <c r="A10" s="71" t="inlineStr">
        <is>
          <t>음반/아이돌형</t>
        </is>
      </c>
      <c r="B10" s="46">
        <f>COUNTIF('버추얼 그룹 전수목록'!F4:F126,"음반/아이돌형")</f>
        <v/>
      </c>
    </row>
    <row r="11" ht="15" customHeight="1" s="41">
      <c r="A11" s="71" t="inlineStr">
        <is>
          <t>버추얼휴먼/솔로</t>
        </is>
      </c>
      <c r="B11" s="46">
        <f>COUNTIF('버추얼 그룹 전수목록'!F4:F126,"버추얼휴먼/솔로")</f>
        <v/>
      </c>
    </row>
    <row r="12" ht="15" customHeight="1" s="41">
      <c r="A12" s="71" t="inlineStr">
        <is>
          <t>스트리밍/MCN형</t>
        </is>
      </c>
      <c r="B12" s="46">
        <f>COUNTIF('버추얼 그룹 전수목록'!F4:F126,"스트리밍/MCN형")</f>
        <v/>
      </c>
    </row>
    <row r="13" ht="15" customHeight="1" s="41">
      <c r="A13" s="71" t="inlineStr">
        <is>
          <t>혼합형</t>
        </is>
      </c>
      <c r="B13" s="46">
        <f>COUNTIF('버추얼 그룹 전수목록'!F4:F126,"혼합형")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(2026-09-12 3갈래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프리데뷔→정식 예정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88" t="inlineStr">
        <is>
          <t>비더후드 (B THE HOOD)</t>
        </is>
      </c>
      <c r="B13" s="87" t="inlineStr">
        <is>
          <t>레벨스(LEVVELS·하이브×두나무 합작)</t>
        </is>
      </c>
      <c r="C13" s="88" t="inlineStr">
        <is>
          <t>프리데뷔 완료(선공개 3장) · 정식 데뷔 임박</t>
        </is>
      </c>
      <c r="D13" s="87" t="inlineStr">
        <is>
          <t>선공개 2026.6.26/7.31/8.21 · 정식 데뷔일 미확인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</t>
        </is>
      </c>
    </row>
    <row r="14">
      <c r="A14" s="88" t="inlineStr">
        <is>
          <t>비그릿츠 (BEGRITZ)</t>
        </is>
      </c>
      <c r="B14" s="87" t="inlineStr">
        <is>
          <t>디네이블(DNABLE)</t>
        </is>
      </c>
      <c r="C14" s="88" t="inlineStr">
        <is>
          <t>데뷔 예정</t>
        </is>
      </c>
      <c r="D14" s="87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88" t="inlineStr">
        <is>
          <t>홀린 (WhOLLiN)</t>
        </is>
      </c>
      <c r="B15" s="87" t="inlineStr">
        <is>
          <t>플레이리스트(PLAYLIST)</t>
        </is>
      </c>
      <c r="C15" s="88" t="inlineStr">
        <is>
          <t>정식 데뷔 완료(2026.9.1) → 전수목록 편입</t>
        </is>
      </c>
      <c r="D15" s="87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88" t="inlineStr">
        <is>
          <t>걸스 아카이브 (Girls Archives.)</t>
        </is>
      </c>
      <c r="B16" s="87" t="inlineStr">
        <is>
          <t>하이브 NEB × INCS toenter(일본)</t>
        </is>
      </c>
      <c r="C16" s="88" t="inlineStr">
        <is>
          <t>프리데뷔 예정</t>
        </is>
      </c>
      <c r="D16" s="87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88" t="inlineStr">
        <is>
          <t>코스믹코드 (COSMIC CODE)</t>
        </is>
      </c>
      <c r="B17" s="87" t="inlineStr">
        <is>
          <t>에이탑유니버스</t>
        </is>
      </c>
      <c r="C17" s="88" t="inlineStr">
        <is>
          <t>프리데뷔(멤버 순차 공개)</t>
        </is>
      </c>
      <c r="D17" s="8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88" t="inlineStr">
        <is>
          <t>STUN-X (우주아이돌리그)</t>
        </is>
      </c>
      <c r="B18" s="87" t="inlineStr">
        <is>
          <t>밀리언볼트(애니 스튜디오)</t>
        </is>
      </c>
      <c r="C18" s="88" t="inlineStr">
        <is>
          <t>데뷔 예정</t>
        </is>
      </c>
      <c r="D18" s="87" t="inlineStr">
        <is>
          <t>2026.10.2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88" t="inlineStr">
        <is>
          <t>WINKX (윙스)</t>
        </is>
      </c>
      <c r="B19" s="87" t="inlineStr">
        <is>
          <t>타이탄콘텐츠 × 대원미디어</t>
        </is>
      </c>
      <c r="C19" s="88" t="inlineStr">
        <is>
          <t>데뷔 예정(MOU 단계)</t>
        </is>
      </c>
      <c r="D19" s="8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88" t="inlineStr">
        <is>
          <t>레드소다써클 (Red Soda Circle)</t>
        </is>
      </c>
      <c r="B20" s="87" t="inlineStr">
        <is>
          <t>코드판타지아</t>
        </is>
      </c>
      <c r="C20" s="88" t="inlineStr">
        <is>
          <t>프리데뷔</t>
        </is>
      </c>
      <c r="D20" s="8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2026-06-06T05:51:24Z</dcterms:created>
  <dcterms:modified xmlns:dcterms="http://purl.org/dc/terms/" xmlns:xsi="http://www.w3.org/2001/XMLSchema-instance" xsi:type="dcterms:W3CDTF">2026-09-12T01:35:33Z</dcterms:modified>
  <cp:revision>0</cp:revision>
</cp:coreProperties>
</file>