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버추얼 그룹 전수목록" sheetId="1" state="visible" r:id="rId3"/>
    <sheet name="소속사·운영사 정리" sheetId="2" state="visible" r:id="rId4"/>
    <sheet name="요약 통계" sheetId="3" state="visible" r:id="rId5"/>
    <sheet name="데뷔예정·신규(2026)" sheetId="4" state="visible" r:id="rId6"/>
    <sheet name="개인세(무소속) 기준안+시드" sheetId="5" state="visible" r:id="rId7"/>
    <sheet name="개인세 수집PoC(3만+)" sheetId="6" state="visible" r:id="rId8"/>
  </sheets>
  <definedNames>
    <definedName function="false" hidden="true" localSheetId="0" name="_xlnm._FilterDatabase" vbProcedure="false">'버추얼 그룹 전수목록'!$A$3:$H$126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<sst xmlns="http://schemas.openxmlformats.org/spreadsheetml/2006/main" count="1573" uniqueCount="801">
  <si>
    <r>
      <rPr>
        <b val="true"/>
        <sz val="14"/>
        <color rgb="FFFFFFFF"/>
        <rFont val="DejaVu Sans"/>
        <family val="2"/>
      </rPr>
      <t xml:space="preserve">한국 버추얼 아이돌</t>
    </r>
    <r>
      <rPr>
        <b val="true"/>
        <sz val="14"/>
        <color rgb="FFFFFFFF"/>
        <rFont val="DejaVu Sans"/>
        <family val="2"/>
        <charset val="1"/>
      </rPr>
      <t xml:space="preserve">·</t>
    </r>
    <r>
      <rPr>
        <b val="true"/>
        <sz val="14"/>
        <color rgb="FFFFFFFF"/>
        <rFont val="DejaVu Sans"/>
        <family val="2"/>
      </rPr>
      <t xml:space="preserve">버추얼 유튜버 그룹 전수조사 </t>
    </r>
    <r>
      <rPr>
        <b val="true"/>
        <sz val="14"/>
        <color rgb="FFFFFFFF"/>
        <rFont val="DejaVu Sans"/>
        <family val="2"/>
        <charset val="1"/>
      </rPr>
      <t xml:space="preserve">(v8)</t>
    </r>
  </si>
  <si>
    <r>
      <rPr>
        <i val="true"/>
        <sz val="8"/>
        <color rgb="FF666666"/>
        <rFont val="DejaVu Sans"/>
        <family val="2"/>
      </rPr>
      <t xml:space="preserve">출처</t>
    </r>
    <r>
      <rPr>
        <i val="true"/>
        <sz val="8"/>
        <color rgb="FF666666"/>
        <rFont val="DejaVu Sans"/>
        <family val="2"/>
        <charset val="1"/>
      </rPr>
      <t xml:space="preserve">: thewiki.kr </t>
    </r>
    <r>
      <rPr>
        <i val="true"/>
        <sz val="8"/>
        <color rgb="FF666666"/>
        <rFont val="DejaVu Sans"/>
        <family val="2"/>
      </rPr>
      <t xml:space="preserve">버추얼그룹목록 </t>
    </r>
    <r>
      <rPr>
        <i val="true"/>
        <sz val="8"/>
        <color rgb="FF666666"/>
        <rFont val="DejaVu Sans"/>
        <family val="2"/>
        <charset val="1"/>
      </rPr>
      <t xml:space="preserve">+ </t>
    </r>
    <r>
      <rPr>
        <i val="true"/>
        <sz val="8"/>
        <color rgb="FF666666"/>
        <rFont val="DejaVu Sans"/>
        <family val="2"/>
      </rPr>
      <t xml:space="preserve">언론보도</t>
    </r>
    <r>
      <rPr>
        <i val="true"/>
        <sz val="8"/>
        <color rgb="FF666666"/>
        <rFont val="DejaVu Sans"/>
        <family val="2"/>
        <charset val="1"/>
      </rPr>
      <t xml:space="preserve">(</t>
    </r>
    <r>
      <rPr>
        <i val="true"/>
        <sz val="8"/>
        <color rgb="FF666666"/>
        <rFont val="DejaVu Sans"/>
        <family val="2"/>
      </rPr>
      <t xml:space="preserve">머니투데이</t>
    </r>
    <r>
      <rPr>
        <i val="true"/>
        <sz val="8"/>
        <color rgb="FF666666"/>
        <rFont val="DejaVu Sans"/>
        <family val="2"/>
        <charset val="1"/>
      </rPr>
      <t xml:space="preserve">·</t>
    </r>
    <r>
      <rPr>
        <i val="true"/>
        <sz val="8"/>
        <color rgb="FF666666"/>
        <rFont val="DejaVu Sans"/>
        <family val="2"/>
      </rPr>
      <t xml:space="preserve">이데일리</t>
    </r>
    <r>
      <rPr>
        <i val="true"/>
        <sz val="8"/>
        <color rgb="FF666666"/>
        <rFont val="DejaVu Sans"/>
        <family val="2"/>
        <charset val="1"/>
      </rPr>
      <t xml:space="preserve">·</t>
    </r>
    <r>
      <rPr>
        <i val="true"/>
        <sz val="8"/>
        <color rgb="FF666666"/>
        <rFont val="DejaVu Sans"/>
        <family val="2"/>
      </rPr>
      <t xml:space="preserve">한경</t>
    </r>
    <r>
      <rPr>
        <i val="true"/>
        <sz val="8"/>
        <color rgb="FF666666"/>
        <rFont val="DejaVu Sans"/>
        <family val="2"/>
        <charset val="1"/>
      </rPr>
      <t xml:space="preserve">·</t>
    </r>
    <r>
      <rPr>
        <i val="true"/>
        <sz val="8"/>
        <color rgb="FF666666"/>
        <rFont val="DejaVu Sans"/>
        <family val="2"/>
      </rPr>
      <t xml:space="preserve">스포츠경향</t>
    </r>
    <r>
      <rPr>
        <i val="true"/>
        <sz val="8"/>
        <color rgb="FF666666"/>
        <rFont val="DejaVu Sans"/>
        <family val="2"/>
        <charset val="1"/>
      </rPr>
      <t xml:space="preserve">·</t>
    </r>
    <r>
      <rPr>
        <i val="true"/>
        <sz val="8"/>
        <color rgb="FF666666"/>
        <rFont val="DejaVu Sans"/>
        <family val="2"/>
      </rPr>
      <t xml:space="preserve">전자신문</t>
    </r>
    <r>
      <rPr>
        <i val="true"/>
        <sz val="8"/>
        <color rgb="FF666666"/>
        <rFont val="DejaVu Sans"/>
        <family val="2"/>
        <charset val="1"/>
      </rPr>
      <t xml:space="preserve">·</t>
    </r>
    <r>
      <rPr>
        <i val="true"/>
        <sz val="8"/>
        <color rgb="FF666666"/>
        <rFont val="DejaVu Sans"/>
        <family val="2"/>
      </rPr>
      <t xml:space="preserve">톱셀럽</t>
    </r>
    <r>
      <rPr>
        <i val="true"/>
        <sz val="8"/>
        <color rgb="FF666666"/>
        <rFont val="DejaVu Sans"/>
        <family val="2"/>
        <charset val="1"/>
      </rPr>
      <t xml:space="preserve">·KMJ </t>
    </r>
    <r>
      <rPr>
        <i val="true"/>
        <sz val="8"/>
        <color rgb="FF666666"/>
        <rFont val="DejaVu Sans"/>
        <family val="2"/>
      </rPr>
      <t xml:space="preserve">등</t>
    </r>
    <r>
      <rPr>
        <i val="true"/>
        <sz val="8"/>
        <color rgb="FF666666"/>
        <rFont val="DejaVu Sans"/>
        <family val="2"/>
        <charset val="1"/>
      </rPr>
      <t xml:space="preserve">) + MBC </t>
    </r>
    <r>
      <rPr>
        <i val="true"/>
        <sz val="8"/>
        <color rgb="FF666666"/>
        <rFont val="DejaVu Sans"/>
        <family val="2"/>
      </rPr>
      <t xml:space="preserve">버추얼라이브페스티벌 라인업 </t>
    </r>
    <r>
      <rPr>
        <i val="true"/>
        <sz val="8"/>
        <color rgb="FF666666"/>
        <rFont val="DejaVu Sans"/>
        <family val="2"/>
        <charset val="1"/>
      </rPr>
      <t xml:space="preserve">/ </t>
    </r>
    <r>
      <rPr>
        <i val="true"/>
        <sz val="8"/>
        <color rgb="FF666666"/>
        <rFont val="DejaVu Sans"/>
        <family val="2"/>
      </rPr>
      <t xml:space="preserve">활동성 검증 </t>
    </r>
    <r>
      <rPr>
        <i val="true"/>
        <sz val="8"/>
        <color rgb="FF666666"/>
        <rFont val="DejaVu Sans"/>
        <family val="2"/>
        <charset val="1"/>
      </rPr>
      <t xml:space="preserve">2026-06-06 / ※'</t>
    </r>
    <r>
      <rPr>
        <i val="true"/>
        <sz val="8"/>
        <color rgb="FF666666"/>
        <rFont val="DejaVu Sans"/>
        <family val="2"/>
      </rPr>
      <t xml:space="preserve">확인필요</t>
    </r>
    <r>
      <rPr>
        <i val="true"/>
        <sz val="8"/>
        <color rgb="FF666666"/>
        <rFont val="DejaVu Sans"/>
        <family val="2"/>
        <charset val="1"/>
      </rPr>
      <t xml:space="preserve">' = </t>
    </r>
    <r>
      <rPr>
        <i val="true"/>
        <sz val="8"/>
        <color rgb="FF666666"/>
        <rFont val="DejaVu Sans"/>
        <family val="2"/>
      </rPr>
      <t xml:space="preserve">실재하나 </t>
    </r>
    <r>
      <rPr>
        <i val="true"/>
        <sz val="8"/>
        <color rgb="FF666666"/>
        <rFont val="DejaVu Sans"/>
        <family val="2"/>
        <charset val="1"/>
      </rPr>
      <t xml:space="preserve">(a)</t>
    </r>
    <r>
      <rPr>
        <i val="true"/>
        <sz val="8"/>
        <color rgb="FF666666"/>
        <rFont val="DejaVu Sans"/>
        <family val="2"/>
      </rPr>
      <t xml:space="preserve">소속</t>
    </r>
    <r>
      <rPr>
        <i val="true"/>
        <sz val="8"/>
        <color rgb="FF666666"/>
        <rFont val="DejaVu Sans"/>
        <family val="2"/>
        <charset val="1"/>
      </rPr>
      <t xml:space="preserve">·</t>
    </r>
    <r>
      <rPr>
        <i val="true"/>
        <sz val="8"/>
        <color rgb="FF666666"/>
        <rFont val="DejaVu Sans"/>
        <family val="2"/>
      </rPr>
      <t xml:space="preserve">데뷔 미확정 또는 </t>
    </r>
    <r>
      <rPr>
        <i val="true"/>
        <sz val="8"/>
        <color rgb="FF666666"/>
        <rFont val="DejaVu Sans"/>
        <family val="2"/>
        <charset val="1"/>
      </rPr>
      <t xml:space="preserve">(b)</t>
    </r>
    <r>
      <rPr>
        <i val="true"/>
        <sz val="8"/>
        <color rgb="FF666666"/>
        <rFont val="DejaVu Sans"/>
        <family val="2"/>
      </rPr>
      <t xml:space="preserve">최근 </t>
    </r>
    <r>
      <rPr>
        <i val="true"/>
        <sz val="8"/>
        <color rgb="FF666666"/>
        <rFont val="DejaVu Sans"/>
        <family val="2"/>
        <charset val="1"/>
      </rPr>
      <t xml:space="preserve">1</t>
    </r>
    <r>
      <rPr>
        <i val="true"/>
        <sz val="8"/>
        <color rgb="FF666666"/>
        <rFont val="DejaVu Sans"/>
        <family val="2"/>
      </rPr>
      <t xml:space="preserve">년 내 활동</t>
    </r>
    <r>
      <rPr>
        <i val="true"/>
        <sz val="8"/>
        <color rgb="FF666666"/>
        <rFont val="DejaVu Sans"/>
        <family val="2"/>
        <charset val="1"/>
      </rPr>
      <t xml:space="preserve">(</t>
    </r>
    <r>
      <rPr>
        <i val="true"/>
        <sz val="8"/>
        <color rgb="FF666666"/>
        <rFont val="DejaVu Sans"/>
        <family val="2"/>
      </rPr>
      <t xml:space="preserve">업로드</t>
    </r>
    <r>
      <rPr>
        <i val="true"/>
        <sz val="8"/>
        <color rgb="FF666666"/>
        <rFont val="DejaVu Sans"/>
        <family val="2"/>
        <charset val="1"/>
      </rPr>
      <t xml:space="preserve">) </t>
    </r>
    <r>
      <rPr>
        <i val="true"/>
        <sz val="8"/>
        <color rgb="FF666666"/>
        <rFont val="DejaVu Sans"/>
        <family val="2"/>
      </rPr>
      <t xml:space="preserve">미확인 — 추가조사 대상 </t>
    </r>
    <r>
      <rPr>
        <i val="true"/>
        <sz val="8"/>
        <color rgb="FF666666"/>
        <rFont val="DejaVu Sans"/>
        <family val="2"/>
        <charset val="1"/>
      </rPr>
      <t xml:space="preserve">/ v8: </t>
    </r>
    <r>
      <rPr>
        <i val="true"/>
        <sz val="8"/>
        <color rgb="FF666666"/>
        <rFont val="DejaVu Sans"/>
        <family val="2"/>
      </rPr>
      <t xml:space="preserve">확인필요 재판정</t>
    </r>
    <r>
      <rPr>
        <i val="true"/>
        <sz val="8"/>
        <color rgb="FF666666"/>
        <rFont val="DejaVu Sans"/>
        <family val="2"/>
        <charset val="1"/>
      </rPr>
      <t xml:space="preserve">·</t>
    </r>
    <r>
      <rPr>
        <i val="true"/>
        <sz val="8"/>
        <color rgb="FF666666"/>
        <rFont val="DejaVu Sans"/>
        <family val="2"/>
      </rPr>
      <t xml:space="preserve">소속사 확정</t>
    </r>
    <r>
      <rPr>
        <i val="true"/>
        <sz val="8"/>
        <color rgb="FF666666"/>
        <rFont val="DejaVu Sans"/>
        <family val="2"/>
        <charset val="1"/>
      </rPr>
      <t xml:space="preserve">(2026-06-06 </t>
    </r>
    <r>
      <rPr>
        <i val="true"/>
        <sz val="8"/>
        <color rgb="FF666666"/>
        <rFont val="DejaVu Sans"/>
        <family val="2"/>
      </rPr>
      <t xml:space="preserve">웹 재조사</t>
    </r>
    <r>
      <rPr>
        <i val="true"/>
        <sz val="8"/>
        <color rgb="FF666666"/>
        <rFont val="DejaVu Sans"/>
        <family val="2"/>
        <charset val="1"/>
      </rPr>
      <t xml:space="preserve">), </t>
    </r>
    <r>
      <rPr>
        <i val="true"/>
        <sz val="8"/>
        <color rgb="FF666666"/>
        <rFont val="DejaVu Sans"/>
        <family val="2"/>
      </rPr>
      <t xml:space="preserve">상태값 </t>
    </r>
    <r>
      <rPr>
        <i val="true"/>
        <sz val="8"/>
        <color rgb="FF666666"/>
        <rFont val="DejaVu Sans"/>
        <family val="2"/>
        <charset val="1"/>
      </rPr>
      <t xml:space="preserve">'</t>
    </r>
    <r>
      <rPr>
        <i val="true"/>
        <sz val="8"/>
        <color rgb="FF666666"/>
        <rFont val="DejaVu Sans"/>
        <family val="2"/>
      </rPr>
      <t xml:space="preserve">휴면</t>
    </r>
    <r>
      <rPr>
        <i val="true"/>
        <sz val="8"/>
        <color rgb="FF666666"/>
        <rFont val="DejaVu Sans"/>
        <family val="2"/>
        <charset val="1"/>
      </rPr>
      <t xml:space="preserve">' </t>
    </r>
    <r>
      <rPr>
        <i val="true"/>
        <sz val="8"/>
        <color rgb="FF666666"/>
        <rFont val="DejaVu Sans"/>
        <family val="2"/>
      </rPr>
      <t xml:space="preserve">신설</t>
    </r>
  </si>
  <si>
    <t xml:space="preserve">No.</t>
  </si>
  <si>
    <t xml:space="preserve">그룹명</t>
  </si>
  <si>
    <r>
      <rPr>
        <b val="true"/>
        <sz val="10"/>
        <color rgb="FFFFFFFF"/>
        <rFont val="DejaVu Sans"/>
        <family val="2"/>
      </rPr>
      <t xml:space="preserve">영문</t>
    </r>
    <r>
      <rPr>
        <b val="true"/>
        <sz val="10"/>
        <color rgb="FFFFFFFF"/>
        <rFont val="DejaVu Sans"/>
        <family val="2"/>
        <charset val="1"/>
      </rPr>
      <t xml:space="preserve">/</t>
    </r>
    <r>
      <rPr>
        <b val="true"/>
        <sz val="10"/>
        <color rgb="FFFFFFFF"/>
        <rFont val="DejaVu Sans"/>
        <family val="2"/>
      </rPr>
      <t xml:space="preserve">별칭</t>
    </r>
  </si>
  <si>
    <r>
      <rPr>
        <b val="true"/>
        <sz val="10"/>
        <color rgb="FFFFFFFF"/>
        <rFont val="DejaVu Sans"/>
        <family val="2"/>
      </rPr>
      <t xml:space="preserve">소속사</t>
    </r>
    <r>
      <rPr>
        <b val="true"/>
        <sz val="10"/>
        <color rgb="FFFFFFFF"/>
        <rFont val="DejaVu Sans"/>
        <family val="2"/>
        <charset val="1"/>
      </rPr>
      <t xml:space="preserve">·</t>
    </r>
    <r>
      <rPr>
        <b val="true"/>
        <sz val="10"/>
        <color rgb="FFFFFFFF"/>
        <rFont val="DejaVu Sans"/>
        <family val="2"/>
      </rPr>
      <t xml:space="preserve">운영사</t>
    </r>
  </si>
  <si>
    <t xml:space="preserve">활동시작</t>
  </si>
  <si>
    <t xml:space="preserve">분류</t>
  </si>
  <si>
    <t xml:space="preserve">상태</t>
  </si>
  <si>
    <t xml:space="preserve">비고</t>
  </si>
  <si>
    <t xml:space="preserve">PLAVE</t>
  </si>
  <si>
    <t xml:space="preserve">플레이브</t>
  </si>
  <si>
    <r>
      <rPr>
        <sz val="10"/>
        <rFont val="Arial"/>
        <family val="0"/>
        <charset val="1"/>
      </rPr>
      <t xml:space="preserve">VLAST(</t>
    </r>
    <r>
      <rPr>
        <sz val="10"/>
        <rFont val="DejaVu Sans"/>
        <family val="2"/>
      </rPr>
      <t xml:space="preserve">블래스트</t>
    </r>
    <r>
      <rPr>
        <sz val="10"/>
        <rFont val="Arial"/>
        <family val="0"/>
        <charset val="1"/>
      </rPr>
      <t xml:space="preserve">)</t>
    </r>
  </si>
  <si>
    <t xml:space="preserve">2023</t>
  </si>
  <si>
    <r>
      <rPr>
        <sz val="10"/>
        <rFont val="DejaVu Sans"/>
        <family val="2"/>
      </rPr>
      <t xml:space="preserve">음반</t>
    </r>
    <r>
      <rPr>
        <sz val="10"/>
        <rFont val="DejaVu Sans"/>
        <family val="2"/>
        <charset val="1"/>
      </rPr>
      <t xml:space="preserve">/</t>
    </r>
    <r>
      <rPr>
        <sz val="10"/>
        <rFont val="DejaVu Sans"/>
        <family val="2"/>
      </rPr>
      <t xml:space="preserve">아이돌형</t>
    </r>
  </si>
  <si>
    <t xml:space="preserve">활동중</t>
  </si>
  <si>
    <r>
      <rPr>
        <sz val="10"/>
        <rFont val="Arial"/>
        <family val="0"/>
        <charset val="1"/>
      </rPr>
      <t xml:space="preserve">5</t>
    </r>
    <r>
      <rPr>
        <sz val="10"/>
        <rFont val="DejaVu Sans"/>
        <family val="2"/>
      </rPr>
      <t xml:space="preserve">인조 보이그룹</t>
    </r>
    <r>
      <rPr>
        <sz val="10"/>
        <rFont val="Arial"/>
        <family val="0"/>
        <charset val="1"/>
      </rPr>
      <t xml:space="preserve">. </t>
    </r>
    <r>
      <rPr>
        <sz val="10"/>
        <rFont val="DejaVu Sans"/>
        <family val="2"/>
      </rPr>
      <t xml:space="preserve">버추얼 최초 음악중심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위</t>
    </r>
    <r>
      <rPr>
        <sz val="10"/>
        <rFont val="Arial"/>
        <family val="0"/>
        <charset val="1"/>
      </rPr>
      <t xml:space="preserve">. MBC </t>
    </r>
    <r>
      <rPr>
        <sz val="10"/>
        <rFont val="DejaVu Sans"/>
        <family val="2"/>
      </rPr>
      <t xml:space="preserve">사내벤처 출신 기술회사</t>
    </r>
  </si>
  <si>
    <t xml:space="preserve">MAVE:</t>
  </si>
  <si>
    <t xml:space="preserve">메이브</t>
  </si>
  <si>
    <r>
      <rPr>
        <sz val="10"/>
        <rFont val="DejaVu Sans"/>
        <family val="2"/>
      </rPr>
      <t xml:space="preserve">메타버스엔터테인먼트</t>
    </r>
    <r>
      <rPr>
        <sz val="10"/>
        <rFont val="DejaVu Sans"/>
        <family val="2"/>
        <charset val="1"/>
      </rPr>
      <t xml:space="preserve">(</t>
    </r>
    <r>
      <rPr>
        <sz val="10"/>
        <rFont val="DejaVu Sans"/>
        <family val="2"/>
      </rPr>
      <t xml:space="preserve">넷마블</t>
    </r>
    <r>
      <rPr>
        <sz val="10"/>
        <rFont val="DejaVu Sans"/>
        <family val="2"/>
        <charset val="1"/>
      </rPr>
      <t xml:space="preserve">F&amp;C)·</t>
    </r>
    <r>
      <rPr>
        <sz val="10"/>
        <rFont val="DejaVu Sans"/>
        <family val="2"/>
      </rPr>
      <t xml:space="preserve">카카오엔터</t>
    </r>
  </si>
  <si>
    <t xml:space="preserve">휴면</t>
  </si>
  <si>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인조</t>
    </r>
    <r>
      <rPr>
        <sz val="10"/>
        <rFont val="Arial"/>
        <family val="0"/>
        <charset val="1"/>
      </rPr>
      <t xml:space="preserve">. 2023.11 EP </t>
    </r>
    <r>
      <rPr>
        <sz val="10"/>
        <rFont val="DejaVu Sans"/>
        <family val="2"/>
      </rPr>
      <t xml:space="preserve">마지막 발매</t>
    </r>
    <r>
      <rPr>
        <sz val="10"/>
        <rFont val="Arial"/>
        <family val="0"/>
        <charset val="1"/>
      </rPr>
      <t xml:space="preserve">, 2025 </t>
    </r>
    <r>
      <rPr>
        <sz val="10"/>
        <rFont val="DejaVu Sans"/>
        <family val="2"/>
      </rPr>
      <t xml:space="preserve">이후 </t>
    </r>
    <r>
      <rPr>
        <sz val="10"/>
        <rFont val="Arial"/>
        <family val="0"/>
        <charset val="1"/>
      </rPr>
      <t xml:space="preserve">SNS </t>
    </r>
    <r>
      <rPr>
        <sz val="10"/>
        <rFont val="DejaVu Sans"/>
        <family val="2"/>
      </rPr>
      <t xml:space="preserve">포함 무소식—사실상 종료</t>
    </r>
    <r>
      <rPr>
        <sz val="10"/>
        <rFont val="Arial"/>
        <family val="0"/>
        <charset val="1"/>
      </rPr>
      <t xml:space="preserve">(</t>
    </r>
    <r>
      <rPr>
        <sz val="10"/>
        <rFont val="DejaVu Sans"/>
        <family val="2"/>
      </rPr>
      <t xml:space="preserve">공식 발표 없음</t>
    </r>
    <r>
      <rPr>
        <sz val="10"/>
        <rFont val="Arial"/>
        <family val="0"/>
        <charset val="1"/>
      </rPr>
      <t xml:space="preserve">). </t>
    </r>
    <r>
      <rPr>
        <sz val="10"/>
        <rFont val="DejaVu Sans"/>
        <family val="2"/>
      </rPr>
      <t xml:space="preserve">재검증 </t>
    </r>
    <r>
      <rPr>
        <sz val="10"/>
        <rFont val="Arial"/>
        <family val="0"/>
        <charset val="1"/>
      </rPr>
      <t xml:space="preserve">2026-06-06</t>
    </r>
  </si>
  <si>
    <t xml:space="preserve">이세계아이돌</t>
  </si>
  <si>
    <t xml:space="preserve">ISEGYE IDOL</t>
  </si>
  <si>
    <r>
      <rPr>
        <sz val="10"/>
        <rFont val="DejaVu Sans"/>
        <family val="2"/>
      </rPr>
      <t xml:space="preserve">패러블 엔터테인먼트</t>
    </r>
    <r>
      <rPr>
        <sz val="10"/>
        <rFont val="DejaVu Sans"/>
        <family val="2"/>
        <charset val="1"/>
      </rPr>
      <t xml:space="preserve">(</t>
    </r>
    <r>
      <rPr>
        <sz val="10"/>
        <rFont val="DejaVu Sans"/>
        <family val="2"/>
      </rPr>
      <t xml:space="preserve">왁타버스</t>
    </r>
    <r>
      <rPr>
        <sz val="10"/>
        <rFont val="DejaVu Sans"/>
        <family val="2"/>
        <charset val="1"/>
      </rPr>
      <t xml:space="preserve">)</t>
    </r>
  </si>
  <si>
    <t xml:space="preserve">2021</t>
  </si>
  <si>
    <t xml:space="preserve">혼합형</t>
  </si>
  <si>
    <r>
      <rPr>
        <sz val="10"/>
        <rFont val="Arial"/>
        <family val="0"/>
        <charset val="1"/>
      </rPr>
      <t xml:space="preserve">6</t>
    </r>
    <r>
      <rPr>
        <sz val="10"/>
        <rFont val="DejaVu Sans"/>
        <family val="2"/>
      </rPr>
      <t xml:space="preserve">인조</t>
    </r>
    <r>
      <rPr>
        <sz val="10"/>
        <rFont val="Arial"/>
        <family val="0"/>
        <charset val="1"/>
      </rPr>
      <t xml:space="preserve">. SOOP </t>
    </r>
    <r>
      <rPr>
        <sz val="10"/>
        <rFont val="DejaVu Sans"/>
        <family val="2"/>
      </rPr>
      <t xml:space="preserve">라이브</t>
    </r>
    <r>
      <rPr>
        <sz val="10"/>
        <rFont val="Arial"/>
        <family val="0"/>
        <charset val="1"/>
      </rPr>
      <t xml:space="preserve">+</t>
    </r>
    <r>
      <rPr>
        <sz val="10"/>
        <rFont val="DejaVu Sans"/>
        <family val="2"/>
      </rPr>
      <t xml:space="preserve">음원</t>
    </r>
    <r>
      <rPr>
        <sz val="10"/>
        <rFont val="Arial"/>
        <family val="0"/>
        <charset val="1"/>
      </rPr>
      <t xml:space="preserve">/</t>
    </r>
    <r>
      <rPr>
        <sz val="10"/>
        <rFont val="DejaVu Sans"/>
        <family val="2"/>
      </rPr>
      <t xml:space="preserve">콘서트 병행</t>
    </r>
    <r>
      <rPr>
        <sz val="10"/>
        <rFont val="Arial"/>
        <family val="0"/>
        <charset val="1"/>
      </rPr>
      <t xml:space="preserve">. RE:WIND </t>
    </r>
    <r>
      <rPr>
        <sz val="10"/>
        <rFont val="DejaVu Sans"/>
        <family val="2"/>
      </rPr>
      <t xml:space="preserve">데뷔</t>
    </r>
    <r>
      <rPr>
        <sz val="10"/>
        <rFont val="Arial"/>
        <family val="0"/>
        <charset val="1"/>
      </rPr>
      <t xml:space="preserve">. </t>
    </r>
    <r>
      <rPr>
        <sz val="10"/>
        <rFont val="DejaVu Sans"/>
        <family val="2"/>
      </rPr>
      <t xml:space="preserve">우왁굳</t>
    </r>
  </si>
  <si>
    <t xml:space="preserve">IRISÉ</t>
  </si>
  <si>
    <t xml:space="preserve">아이리제</t>
  </si>
  <si>
    <t xml:space="preserve">패러블 엔터테인먼트</t>
  </si>
  <si>
    <t xml:space="preserve">2025</t>
  </si>
  <si>
    <r>
      <rPr>
        <sz val="10"/>
        <rFont val="DejaVu Sans"/>
        <family val="2"/>
      </rPr>
      <t xml:space="preserve">이세돌과 동일 소속사 걸그룹</t>
    </r>
    <r>
      <rPr>
        <sz val="10"/>
        <rFont val="DejaVu Sans"/>
        <family val="2"/>
        <charset val="1"/>
      </rPr>
      <t xml:space="preserve">. 2025.2 </t>
    </r>
    <r>
      <rPr>
        <sz val="10"/>
        <rFont val="DejaVu Sans"/>
        <family val="2"/>
      </rPr>
      <t xml:space="preserve">데뷔</t>
    </r>
  </si>
  <si>
    <t xml:space="preserve">SUPERKIND</t>
  </si>
  <si>
    <t xml:space="preserve">슈퍼카인드</t>
  </si>
  <si>
    <t xml:space="preserve">딥스튜디오</t>
  </si>
  <si>
    <t xml:space="preserve">2022</t>
  </si>
  <si>
    <r>
      <rPr>
        <sz val="10"/>
        <rFont val="DejaVu Sans"/>
        <family val="2"/>
      </rPr>
      <t xml:space="preserve">해체</t>
    </r>
    <r>
      <rPr>
        <sz val="10"/>
        <rFont val="DejaVu Sans"/>
        <family val="2"/>
        <charset val="1"/>
      </rPr>
      <t xml:space="preserve">/</t>
    </r>
    <r>
      <rPr>
        <sz val="10"/>
        <rFont val="DejaVu Sans"/>
        <family val="2"/>
      </rPr>
      <t xml:space="preserve">종료</t>
    </r>
  </si>
  <si>
    <r>
      <rPr>
        <sz val="10"/>
        <rFont val="DejaVu Sans"/>
        <family val="2"/>
      </rPr>
      <t xml:space="preserve">실제</t>
    </r>
    <r>
      <rPr>
        <sz val="10"/>
        <rFont val="DejaVu Sans"/>
        <family val="2"/>
        <charset val="1"/>
      </rPr>
      <t xml:space="preserve">+</t>
    </r>
    <r>
      <rPr>
        <sz val="10"/>
        <rFont val="DejaVu Sans"/>
        <family val="2"/>
      </rPr>
      <t xml:space="preserve">버추얼휴먼 혼합 </t>
    </r>
    <r>
      <rPr>
        <sz val="10"/>
        <rFont val="DejaVu Sans"/>
        <family val="2"/>
        <charset val="1"/>
      </rPr>
      <t xml:space="preserve">7</t>
    </r>
    <r>
      <rPr>
        <sz val="10"/>
        <rFont val="DejaVu Sans"/>
        <family val="2"/>
      </rPr>
      <t xml:space="preserve">인조</t>
    </r>
    <r>
      <rPr>
        <sz val="10"/>
        <rFont val="DejaVu Sans"/>
        <family val="2"/>
        <charset val="1"/>
      </rPr>
      <t xml:space="preserve">. 2025.4.11 </t>
    </r>
    <r>
      <rPr>
        <sz val="10"/>
        <rFont val="DejaVu Sans"/>
        <family val="2"/>
      </rPr>
      <t xml:space="preserve">계약종료 해체</t>
    </r>
    <r>
      <rPr>
        <sz val="10"/>
        <rFont val="DejaVu Sans"/>
        <family val="2"/>
        <charset val="1"/>
      </rPr>
      <t xml:space="preserve">. 2023</t>
    </r>
    <r>
      <rPr>
        <sz val="10"/>
        <rFont val="DejaVu Sans"/>
        <family val="2"/>
      </rPr>
      <t xml:space="preserve">말 이후 활동 전무</t>
    </r>
  </si>
  <si>
    <t xml:space="preserve">WE GO-6</t>
  </si>
  <si>
    <t xml:space="preserve">위고식스</t>
  </si>
  <si>
    <r>
      <rPr>
        <sz val="10"/>
        <rFont val="Arial"/>
        <family val="0"/>
        <charset val="1"/>
      </rPr>
      <t xml:space="preserve">23</t>
    </r>
    <r>
      <rPr>
        <sz val="10"/>
        <rFont val="DejaVu Sans"/>
        <family val="2"/>
      </rPr>
      <t xml:space="preserve">세기아이들</t>
    </r>
  </si>
  <si>
    <t xml:space="preserve">2026</t>
  </si>
  <si>
    <r>
      <rPr>
        <sz val="10"/>
        <rFont val="Arial"/>
        <family val="0"/>
        <charset val="1"/>
      </rPr>
      <t xml:space="preserve">6</t>
    </r>
    <r>
      <rPr>
        <sz val="10"/>
        <rFont val="DejaVu Sans"/>
        <family val="2"/>
      </rPr>
      <t xml:space="preserve">인조 보이그룹</t>
    </r>
    <r>
      <rPr>
        <sz val="10"/>
        <rFont val="Arial"/>
        <family val="0"/>
        <charset val="1"/>
      </rPr>
      <t xml:space="preserve">. </t>
    </r>
    <r>
      <rPr>
        <sz val="10"/>
        <rFont val="DejaVu Sans"/>
        <family val="2"/>
      </rPr>
      <t xml:space="preserve">멀티페르소나</t>
    </r>
    <r>
      <rPr>
        <sz val="10"/>
        <rFont val="Arial"/>
        <family val="0"/>
        <charset val="1"/>
      </rPr>
      <t xml:space="preserve">·</t>
    </r>
    <r>
      <rPr>
        <sz val="10"/>
        <rFont val="DejaVu Sans"/>
        <family val="2"/>
      </rPr>
      <t xml:space="preserve">동물캐릭터 사족보행 모캡</t>
    </r>
    <r>
      <rPr>
        <sz val="10"/>
        <rFont val="Arial"/>
        <family val="0"/>
        <charset val="1"/>
      </rPr>
      <t xml:space="preserve">. </t>
    </r>
    <r>
      <rPr>
        <sz val="10"/>
        <rFont val="DejaVu Sans"/>
        <family val="2"/>
      </rPr>
      <t xml:space="preserve">시리즈</t>
    </r>
    <r>
      <rPr>
        <sz val="10"/>
        <rFont val="Arial"/>
        <family val="0"/>
        <charset val="1"/>
      </rPr>
      <t xml:space="preserve">A 40</t>
    </r>
    <r>
      <rPr>
        <sz val="10"/>
        <rFont val="DejaVu Sans"/>
        <family val="2"/>
      </rPr>
      <t xml:space="preserve">억 투자</t>
    </r>
  </si>
  <si>
    <t xml:space="preserve">SKINZ</t>
  </si>
  <si>
    <t xml:space="preserve">스킨즈</t>
  </si>
  <si>
    <t xml:space="preserve">브릿지엔터</t>
  </si>
  <si>
    <r>
      <rPr>
        <sz val="10"/>
        <rFont val="Arial"/>
        <family val="0"/>
        <charset val="1"/>
      </rPr>
      <t xml:space="preserve">7</t>
    </r>
    <r>
      <rPr>
        <sz val="10"/>
        <rFont val="DejaVu Sans"/>
        <family val="2"/>
      </rPr>
      <t xml:space="preserve">인조 보이그룹</t>
    </r>
    <r>
      <rPr>
        <sz val="10"/>
        <rFont val="Arial"/>
        <family val="0"/>
        <charset val="1"/>
      </rPr>
      <t xml:space="preserve">. YOUNG&amp;LOUD </t>
    </r>
    <r>
      <rPr>
        <sz val="10"/>
        <rFont val="DejaVu Sans"/>
        <family val="2"/>
      </rPr>
      <t xml:space="preserve">데뷔</t>
    </r>
  </si>
  <si>
    <t xml:space="preserve">B:DAWN</t>
  </si>
  <si>
    <t xml:space="preserve">비던</t>
  </si>
  <si>
    <r>
      <rPr>
        <sz val="10"/>
        <rFont val="DejaVu Sans"/>
        <family val="2"/>
      </rPr>
      <t xml:space="preserve">두리엔터테인먼트</t>
    </r>
    <r>
      <rPr>
        <sz val="10"/>
        <rFont val="DejaVu Sans"/>
        <family val="2"/>
        <charset val="1"/>
      </rPr>
      <t xml:space="preserve">(</t>
    </r>
    <r>
      <rPr>
        <sz val="10"/>
        <rFont val="DejaVu Sans"/>
        <family val="2"/>
      </rPr>
      <t xml:space="preserve">스튜디오미르 자회사</t>
    </r>
    <r>
      <rPr>
        <sz val="10"/>
        <rFont val="DejaVu Sans"/>
        <family val="2"/>
        <charset val="1"/>
      </rPr>
      <t xml:space="preserve">)</t>
    </r>
  </si>
  <si>
    <r>
      <rPr>
        <sz val="10"/>
        <rFont val="Arial"/>
        <family val="0"/>
        <charset val="1"/>
      </rPr>
      <t xml:space="preserve">5</t>
    </r>
    <r>
      <rPr>
        <sz val="10"/>
        <rFont val="DejaVu Sans"/>
        <family val="2"/>
      </rPr>
      <t xml:space="preserve">인조</t>
    </r>
    <r>
      <rPr>
        <sz val="10"/>
        <rFont val="Arial"/>
        <family val="0"/>
        <charset val="1"/>
      </rPr>
      <t xml:space="preserve">. </t>
    </r>
    <r>
      <rPr>
        <sz val="10"/>
        <rFont val="DejaVu Sans"/>
        <family val="2"/>
      </rPr>
      <t xml:space="preserve">멤버 전원 운동선수 출신</t>
    </r>
    <r>
      <rPr>
        <sz val="10"/>
        <rFont val="Arial"/>
        <family val="0"/>
        <charset val="1"/>
      </rPr>
      <t xml:space="preserve">. </t>
    </r>
    <r>
      <rPr>
        <sz val="10"/>
        <rFont val="DejaVu Sans"/>
        <family val="2"/>
      </rPr>
      <t xml:space="preserve">데뷔곡 </t>
    </r>
    <r>
      <rPr>
        <sz val="10"/>
        <rFont val="Arial"/>
        <family val="0"/>
        <charset val="1"/>
      </rPr>
      <t xml:space="preserve">BEOM</t>
    </r>
  </si>
  <si>
    <t xml:space="preserve">TESSAR</t>
  </si>
  <si>
    <t xml:space="preserve">테사르</t>
  </si>
  <si>
    <t xml:space="preserve">TANK ENM</t>
  </si>
  <si>
    <r>
      <rPr>
        <sz val="10"/>
        <rFont val="Arial"/>
        <family val="0"/>
        <charset val="1"/>
      </rPr>
      <t xml:space="preserve">3</t>
    </r>
    <r>
      <rPr>
        <sz val="10"/>
        <rFont val="DejaVu Sans"/>
        <family val="2"/>
      </rPr>
      <t xml:space="preserve">인조 버추얼 록밴드</t>
    </r>
    <r>
      <rPr>
        <sz val="10"/>
        <rFont val="Arial"/>
        <family val="0"/>
        <charset val="1"/>
      </rPr>
      <t xml:space="preserve">. </t>
    </r>
    <r>
      <rPr>
        <sz val="10"/>
        <rFont val="DejaVu Sans"/>
        <family val="2"/>
      </rPr>
      <t xml:space="preserve">월드컵 응원가 알레코리아 데뷔</t>
    </r>
  </si>
  <si>
    <t xml:space="preserve">OFF EQUALS</t>
  </si>
  <si>
    <t xml:space="preserve">오프이퀄스</t>
  </si>
  <si>
    <t xml:space="preserve">네임엑스엔터테인먼트</t>
  </si>
  <si>
    <r>
      <rPr>
        <sz val="10"/>
        <rFont val="Arial"/>
        <family val="0"/>
        <charset val="1"/>
      </rPr>
      <t xml:space="preserve">3</t>
    </r>
    <r>
      <rPr>
        <sz val="10"/>
        <rFont val="DejaVu Sans"/>
        <family val="2"/>
      </rPr>
      <t xml:space="preserve">인조 버추얼 록</t>
    </r>
    <r>
      <rPr>
        <sz val="10"/>
        <rFont val="Arial"/>
        <family val="0"/>
        <charset val="1"/>
      </rPr>
      <t xml:space="preserve">/</t>
    </r>
    <r>
      <rPr>
        <sz val="10"/>
        <rFont val="DejaVu Sans"/>
        <family val="2"/>
      </rPr>
      <t xml:space="preserve">메탈 밴드</t>
    </r>
    <r>
      <rPr>
        <sz val="10"/>
        <rFont val="Arial"/>
        <family val="0"/>
        <charset val="1"/>
      </rPr>
      <t xml:space="preserve">. 2025.8.26 </t>
    </r>
    <r>
      <rPr>
        <sz val="10"/>
        <rFont val="DejaVu Sans"/>
        <family val="2"/>
      </rPr>
      <t xml:space="preserve">데뷔</t>
    </r>
  </si>
  <si>
    <t xml:space="preserve">BRAZY</t>
  </si>
  <si>
    <t xml:space="preserve">브레이지</t>
  </si>
  <si>
    <r>
      <rPr>
        <sz val="10"/>
        <rFont val="DejaVu Sans"/>
        <family val="2"/>
      </rPr>
      <t xml:space="preserve">스튜디오 정키크림</t>
    </r>
    <r>
      <rPr>
        <sz val="10"/>
        <rFont val="DejaVu Sans"/>
        <family val="2"/>
        <charset val="1"/>
      </rPr>
      <t xml:space="preserve">(JUNKY CREAM)</t>
    </r>
  </si>
  <si>
    <r>
      <rPr>
        <sz val="10"/>
        <rFont val="Arial"/>
        <family val="0"/>
        <charset val="1"/>
      </rPr>
      <t xml:space="preserve">AI </t>
    </r>
    <r>
      <rPr>
        <sz val="10"/>
        <rFont val="DejaVu Sans"/>
        <family val="2"/>
      </rPr>
      <t xml:space="preserve">기반 버추얼 아이돌 그룹</t>
    </r>
  </si>
  <si>
    <t xml:space="preserve">네오 도깨비즈</t>
  </si>
  <si>
    <t xml:space="preserve">Neo Dokkaebiz</t>
  </si>
  <si>
    <r>
      <rPr>
        <sz val="10"/>
        <rFont val="DejaVu Sans"/>
        <family val="2"/>
      </rPr>
      <t xml:space="preserve">리웨이뮤직앤미디어</t>
    </r>
    <r>
      <rPr>
        <sz val="10"/>
        <rFont val="DejaVu Sans"/>
        <family val="2"/>
        <charset val="1"/>
      </rPr>
      <t xml:space="preserve">(</t>
    </r>
    <r>
      <rPr>
        <sz val="10"/>
        <rFont val="DejaVu Sans"/>
        <family val="2"/>
      </rPr>
      <t xml:space="preserve">크레딧 </t>
    </r>
    <r>
      <rPr>
        <sz val="10"/>
        <rFont val="DejaVu Sans"/>
        <family val="2"/>
        <charset val="1"/>
      </rPr>
      <t xml:space="preserve">CONCRETEBABY)</t>
    </r>
  </si>
  <si>
    <r>
      <rPr>
        <sz val="10"/>
        <rFont val="DejaVu Sans"/>
        <family val="2"/>
      </rPr>
      <t xml:space="preserve">데뷔곡 </t>
    </r>
    <r>
      <rPr>
        <sz val="10"/>
        <rFont val="DejaVu Sans"/>
        <family val="2"/>
        <charset val="1"/>
      </rPr>
      <t xml:space="preserve">HMMM MV 9</t>
    </r>
    <r>
      <rPr>
        <sz val="10"/>
        <rFont val="DejaVu Sans"/>
        <family val="2"/>
      </rPr>
      <t xml:space="preserve">일만 </t>
    </r>
    <r>
      <rPr>
        <sz val="10"/>
        <rFont val="DejaVu Sans"/>
        <family val="2"/>
        <charset val="1"/>
      </rPr>
      <t xml:space="preserve">100</t>
    </r>
    <r>
      <rPr>
        <sz val="10"/>
        <rFont val="DejaVu Sans"/>
        <family val="2"/>
      </rPr>
      <t xml:space="preserve">만뷰</t>
    </r>
    <r>
      <rPr>
        <sz val="10"/>
        <rFont val="DejaVu Sans"/>
        <family val="2"/>
        <charset val="1"/>
      </rPr>
      <t xml:space="preserve">. </t>
    </r>
    <r>
      <rPr>
        <sz val="10"/>
        <rFont val="DejaVu Sans"/>
        <family val="2"/>
      </rPr>
      <t xml:space="preserve">시카고 </t>
    </r>
    <r>
      <rPr>
        <sz val="10"/>
        <rFont val="DejaVu Sans"/>
        <family val="2"/>
        <charset val="1"/>
      </rPr>
      <t xml:space="preserve">AI</t>
    </r>
    <r>
      <rPr>
        <sz val="10"/>
        <rFont val="DejaVu Sans"/>
        <family val="2"/>
      </rPr>
      <t xml:space="preserve">필름페스티벌 </t>
    </r>
    <r>
      <rPr>
        <sz val="10"/>
        <rFont val="DejaVu Sans"/>
        <family val="2"/>
        <charset val="1"/>
      </rPr>
      <t xml:space="preserve">MV</t>
    </r>
    <r>
      <rPr>
        <sz val="10"/>
        <rFont val="DejaVu Sans"/>
        <family val="2"/>
      </rPr>
      <t xml:space="preserve">부문 </t>
    </r>
    <r>
      <rPr>
        <sz val="10"/>
        <rFont val="DejaVu Sans"/>
        <family val="2"/>
        <charset val="1"/>
      </rPr>
      <t xml:space="preserve">1</t>
    </r>
    <r>
      <rPr>
        <sz val="10"/>
        <rFont val="DejaVu Sans"/>
        <family val="2"/>
      </rPr>
      <t xml:space="preserve">위 등 수상</t>
    </r>
    <r>
      <rPr>
        <sz val="10"/>
        <rFont val="DejaVu Sans"/>
        <family val="2"/>
        <charset val="1"/>
      </rPr>
      <t xml:space="preserve">. </t>
    </r>
    <r>
      <rPr>
        <sz val="10"/>
        <rFont val="DejaVu Sans"/>
        <family val="2"/>
      </rPr>
      <t xml:space="preserve">운영사</t>
    </r>
    <r>
      <rPr>
        <sz val="10"/>
        <rFont val="DejaVu Sans"/>
        <family val="2"/>
        <charset val="1"/>
      </rPr>
      <t xml:space="preserve">=</t>
    </r>
    <r>
      <rPr>
        <sz val="10"/>
        <rFont val="DejaVu Sans"/>
        <family val="2"/>
      </rPr>
      <t xml:space="preserve">보도자료 제공처 기준</t>
    </r>
    <r>
      <rPr>
        <sz val="10"/>
        <rFont val="DejaVu Sans"/>
        <family val="2"/>
        <charset val="1"/>
      </rPr>
      <t xml:space="preserve">(</t>
    </r>
    <r>
      <rPr>
        <sz val="10"/>
        <rFont val="DejaVu Sans"/>
        <family val="2"/>
      </rPr>
      <t xml:space="preserve">부분확정</t>
    </r>
    <r>
      <rPr>
        <sz val="10"/>
        <rFont val="DejaVu Sans"/>
        <family val="2"/>
        <charset val="1"/>
      </rPr>
      <t xml:space="preserve">)</t>
    </r>
  </si>
  <si>
    <t xml:space="preserve">NTAKE</t>
  </si>
  <si>
    <t xml:space="preserve">엔테이크</t>
  </si>
  <si>
    <r>
      <rPr>
        <sz val="10"/>
        <rFont val="DejaVu Sans"/>
        <family val="2"/>
      </rPr>
      <t xml:space="preserve">노마드엔터테인먼트</t>
    </r>
    <r>
      <rPr>
        <sz val="10"/>
        <rFont val="DejaVu Sans"/>
        <family val="2"/>
        <charset val="1"/>
      </rPr>
      <t xml:space="preserve">(</t>
    </r>
    <r>
      <rPr>
        <sz val="10"/>
        <rFont val="DejaVu Sans"/>
        <family val="2"/>
      </rPr>
      <t xml:space="preserve">협력 코팬글로벌</t>
    </r>
    <r>
      <rPr>
        <sz val="10"/>
        <rFont val="DejaVu Sans"/>
        <family val="2"/>
        <charset val="1"/>
      </rPr>
      <t xml:space="preserve">)</t>
    </r>
  </si>
  <si>
    <t xml:space="preserve">-</t>
  </si>
  <si>
    <r>
      <rPr>
        <sz val="10"/>
        <rFont val="DejaVu Sans"/>
        <family val="2"/>
      </rPr>
      <t xml:space="preserve">버추얼 아이돌 밴드</t>
    </r>
    <r>
      <rPr>
        <sz val="10"/>
        <rFont val="DejaVu Sans"/>
        <family val="2"/>
        <charset val="1"/>
      </rPr>
      <t xml:space="preserve">. 2025.9 </t>
    </r>
    <r>
      <rPr>
        <sz val="10"/>
        <rFont val="DejaVu Sans"/>
        <family val="2"/>
      </rPr>
      <t xml:space="preserve">티저 공개</t>
    </r>
    <r>
      <rPr>
        <sz val="10"/>
        <rFont val="DejaVu Sans"/>
        <family val="2"/>
        <charset val="1"/>
      </rPr>
      <t xml:space="preserve">, 2025.11 SNS </t>
    </r>
    <r>
      <rPr>
        <sz val="10"/>
        <rFont val="DejaVu Sans"/>
        <family val="2"/>
      </rPr>
      <t xml:space="preserve">활동 확인</t>
    </r>
    <r>
      <rPr>
        <sz val="10"/>
        <rFont val="DejaVu Sans"/>
        <family val="2"/>
        <charset val="1"/>
      </rPr>
      <t xml:space="preserve">. </t>
    </r>
    <r>
      <rPr>
        <sz val="10"/>
        <rFont val="DejaVu Sans"/>
        <family val="2"/>
      </rPr>
      <t xml:space="preserve">정식 데뷔일 미확인</t>
    </r>
  </si>
  <si>
    <t xml:space="preserve">Virtual YB</t>
  </si>
  <si>
    <r>
      <rPr>
        <sz val="10"/>
        <rFont val="DejaVu Sans"/>
        <family val="2"/>
      </rPr>
      <t xml:space="preserve">버추얼 </t>
    </r>
    <r>
      <rPr>
        <sz val="10"/>
        <rFont val="DejaVu Sans"/>
        <family val="2"/>
        <charset val="1"/>
      </rPr>
      <t xml:space="preserve">YB</t>
    </r>
  </si>
  <si>
    <r>
      <rPr>
        <sz val="10"/>
        <rFont val="Arial"/>
        <family val="0"/>
        <charset val="1"/>
      </rPr>
      <t xml:space="preserve">YB(</t>
    </r>
    <r>
      <rPr>
        <sz val="10"/>
        <rFont val="DejaVu Sans"/>
        <family val="2"/>
      </rPr>
      <t xml:space="preserve">윤도현밴드</t>
    </r>
    <r>
      <rPr>
        <sz val="10"/>
        <rFont val="Arial"/>
        <family val="0"/>
        <charset val="1"/>
      </rPr>
      <t xml:space="preserve">)</t>
    </r>
  </si>
  <si>
    <r>
      <rPr>
        <sz val="10"/>
        <rFont val="DejaVu Sans"/>
        <family val="2"/>
      </rPr>
      <t xml:space="preserve">록밴드 </t>
    </r>
    <r>
      <rPr>
        <sz val="10"/>
        <rFont val="DejaVu Sans"/>
        <family val="2"/>
        <charset val="1"/>
      </rPr>
      <t xml:space="preserve">YB</t>
    </r>
    <r>
      <rPr>
        <sz val="10"/>
        <rFont val="DejaVu Sans"/>
        <family val="2"/>
      </rPr>
      <t xml:space="preserve">의 버추얼 프로젝트</t>
    </r>
  </si>
  <si>
    <t xml:space="preserve">하데스</t>
  </si>
  <si>
    <t xml:space="preserve">HADES</t>
  </si>
  <si>
    <t xml:space="preserve">무엔터테인먼트</t>
  </si>
  <si>
    <r>
      <rPr>
        <sz val="10"/>
        <rFont val="Arial"/>
        <family val="0"/>
        <charset val="1"/>
      </rPr>
      <t xml:space="preserve">5</t>
    </r>
    <r>
      <rPr>
        <sz val="10"/>
        <rFont val="DejaVu Sans"/>
        <family val="2"/>
      </rPr>
      <t xml:space="preserve">인조 걸그룹</t>
    </r>
    <r>
      <rPr>
        <sz val="10"/>
        <rFont val="Arial"/>
        <family val="0"/>
        <charset val="1"/>
      </rPr>
      <t xml:space="preserve">. </t>
    </r>
    <r>
      <rPr>
        <sz val="10"/>
        <rFont val="DejaVu Sans"/>
        <family val="2"/>
      </rPr>
      <t xml:space="preserve">김봉준 기획</t>
    </r>
    <r>
      <rPr>
        <sz val="10"/>
        <rFont val="Arial"/>
        <family val="0"/>
        <charset val="1"/>
      </rPr>
      <t xml:space="preserve">. </t>
    </r>
    <r>
      <rPr>
        <sz val="10"/>
        <rFont val="DejaVu Sans"/>
        <family val="2"/>
      </rPr>
      <t xml:space="preserve">언더그라운드 컨셉</t>
    </r>
  </si>
  <si>
    <t xml:space="preserve">러비타</t>
  </si>
  <si>
    <t xml:space="preserve">LUVITA</t>
  </si>
  <si>
    <r>
      <rPr>
        <sz val="10"/>
        <rFont val="Arial"/>
        <family val="0"/>
        <charset val="1"/>
      </rPr>
      <t xml:space="preserve">V-REAL </t>
    </r>
    <r>
      <rPr>
        <sz val="10"/>
        <rFont val="DejaVu Sans"/>
        <family val="2"/>
      </rPr>
      <t xml:space="preserve">프로젝트</t>
    </r>
    <r>
      <rPr>
        <sz val="10"/>
        <rFont val="Arial"/>
        <family val="0"/>
        <charset val="1"/>
      </rPr>
      <t xml:space="preserve">(SOOP·MBC)</t>
    </r>
  </si>
  <si>
    <r>
      <rPr>
        <sz val="10"/>
        <rFont val="DejaVu Sans"/>
        <family val="2"/>
      </rPr>
      <t xml:space="preserve">브이리얼 오디션 데뷔 걸그룹</t>
    </r>
    <r>
      <rPr>
        <sz val="10"/>
        <rFont val="DejaVu Sans"/>
        <family val="2"/>
        <charset val="1"/>
      </rPr>
      <t xml:space="preserve">. </t>
    </r>
    <r>
      <rPr>
        <sz val="10"/>
        <rFont val="DejaVu Sans"/>
        <family val="2"/>
      </rPr>
      <t xml:space="preserve">김희철</t>
    </r>
    <r>
      <rPr>
        <sz val="10"/>
        <rFont val="DejaVu Sans"/>
        <family val="2"/>
        <charset val="1"/>
      </rPr>
      <t xml:space="preserve">·</t>
    </r>
    <r>
      <rPr>
        <sz val="10"/>
        <rFont val="DejaVu Sans"/>
        <family val="2"/>
      </rPr>
      <t xml:space="preserve">예린 심사</t>
    </r>
    <r>
      <rPr>
        <sz val="10"/>
        <rFont val="DejaVu Sans"/>
        <family val="2"/>
        <charset val="1"/>
      </rPr>
      <t xml:space="preserve">. MBC </t>
    </r>
    <r>
      <rPr>
        <sz val="10"/>
        <rFont val="DejaVu Sans"/>
        <family val="2"/>
      </rPr>
      <t xml:space="preserve">버추얼 라이브 페스티벌</t>
    </r>
  </si>
  <si>
    <t xml:space="preserve">OWIS</t>
  </si>
  <si>
    <t xml:space="preserve">오위스</t>
  </si>
  <si>
    <t xml:space="preserve">이해인 제작</t>
  </si>
  <si>
    <t xml:space="preserve">이해인 제작 버추얼 걸그룹</t>
  </si>
  <si>
    <t xml:space="preserve">RE:REVOLUTION</t>
  </si>
  <si>
    <r>
      <rPr>
        <sz val="10"/>
        <rFont val="DejaVu Sans"/>
        <family val="2"/>
      </rPr>
      <t xml:space="preserve">리레볼루션</t>
    </r>
    <r>
      <rPr>
        <sz val="10"/>
        <rFont val="DejaVu Sans"/>
        <family val="2"/>
        <charset val="1"/>
      </rPr>
      <t xml:space="preserve">(</t>
    </r>
    <r>
      <rPr>
        <sz val="10"/>
        <rFont val="DejaVu Sans"/>
        <family val="2"/>
      </rPr>
      <t xml:space="preserve">前 레볼루션 하트</t>
    </r>
    <r>
      <rPr>
        <sz val="10"/>
        <rFont val="DejaVu Sans"/>
        <family val="2"/>
        <charset val="1"/>
      </rPr>
      <t xml:space="preserve">)</t>
    </r>
  </si>
  <si>
    <t xml:space="preserve">스콘</t>
  </si>
  <si>
    <r>
      <rPr>
        <sz val="10"/>
        <rFont val="DejaVu Sans"/>
        <family val="2"/>
      </rPr>
      <t xml:space="preserve">한국 최초 버추얼 보이그룹</t>
    </r>
    <r>
      <rPr>
        <sz val="10"/>
        <rFont val="DejaVu Sans"/>
        <family val="2"/>
        <charset val="1"/>
      </rPr>
      <t xml:space="preserve">·</t>
    </r>
    <r>
      <rPr>
        <sz val="10"/>
        <rFont val="DejaVu Sans"/>
        <family val="2"/>
      </rPr>
      <t xml:space="preserve">최초 아이돌</t>
    </r>
    <r>
      <rPr>
        <sz val="10"/>
        <rFont val="DejaVu Sans"/>
        <family val="2"/>
        <charset val="1"/>
      </rPr>
      <t xml:space="preserve">. </t>
    </r>
    <r>
      <rPr>
        <sz val="10"/>
        <rFont val="DejaVu Sans"/>
        <family val="2"/>
      </rPr>
      <t xml:space="preserve">오뉴</t>
    </r>
    <r>
      <rPr>
        <sz val="10"/>
        <rFont val="DejaVu Sans"/>
        <family val="2"/>
        <charset val="1"/>
      </rPr>
      <t xml:space="preserve">·</t>
    </r>
    <r>
      <rPr>
        <sz val="10"/>
        <rFont val="DejaVu Sans"/>
        <family val="2"/>
      </rPr>
      <t xml:space="preserve">잭</t>
    </r>
    <r>
      <rPr>
        <sz val="10"/>
        <rFont val="DejaVu Sans"/>
        <family val="2"/>
        <charset val="1"/>
      </rPr>
      <t xml:space="preserve">·</t>
    </r>
    <r>
      <rPr>
        <sz val="10"/>
        <rFont val="DejaVu Sans"/>
        <family val="2"/>
      </rPr>
      <t xml:space="preserve">제미니</t>
    </r>
    <r>
      <rPr>
        <sz val="10"/>
        <rFont val="DejaVu Sans"/>
        <family val="2"/>
        <charset val="1"/>
      </rPr>
      <t xml:space="preserve">·</t>
    </r>
    <r>
      <rPr>
        <sz val="10"/>
        <rFont val="DejaVu Sans"/>
        <family val="2"/>
      </rPr>
      <t xml:space="preserve">아카이로 류</t>
    </r>
  </si>
  <si>
    <t xml:space="preserve">nævis</t>
  </si>
  <si>
    <t xml:space="preserve">나이비스</t>
  </si>
  <si>
    <r>
      <rPr>
        <sz val="10"/>
        <rFont val="Arial"/>
        <family val="0"/>
        <charset val="1"/>
      </rPr>
      <t xml:space="preserve">SM</t>
    </r>
    <r>
      <rPr>
        <sz val="10"/>
        <rFont val="DejaVu Sans"/>
        <family val="2"/>
      </rPr>
      <t xml:space="preserve">엔터테인먼트</t>
    </r>
    <r>
      <rPr>
        <sz val="10"/>
        <rFont val="Arial"/>
        <family val="0"/>
        <charset val="1"/>
      </rPr>
      <t xml:space="preserve">(</t>
    </r>
    <r>
      <rPr>
        <sz val="10"/>
        <rFont val="DejaVu Sans"/>
        <family val="2"/>
      </rPr>
      <t xml:space="preserve">버추얼 </t>
    </r>
    <r>
      <rPr>
        <sz val="10"/>
        <rFont val="Arial"/>
        <family val="0"/>
        <charset val="1"/>
      </rPr>
      <t xml:space="preserve">IP</t>
    </r>
    <r>
      <rPr>
        <sz val="10"/>
        <rFont val="DejaVu Sans"/>
        <family val="2"/>
      </rPr>
      <t xml:space="preserve">센터</t>
    </r>
    <r>
      <rPr>
        <sz val="10"/>
        <rFont val="Arial"/>
        <family val="0"/>
        <charset val="1"/>
      </rPr>
      <t xml:space="preserve">)</t>
    </r>
  </si>
  <si>
    <t xml:space="preserve">2024</t>
  </si>
  <si>
    <r>
      <rPr>
        <sz val="10"/>
        <rFont val="DejaVu Sans"/>
        <family val="2"/>
      </rPr>
      <t xml:space="preserve">버추얼휴먼</t>
    </r>
    <r>
      <rPr>
        <sz val="10"/>
        <rFont val="DejaVu Sans"/>
        <family val="2"/>
        <charset val="1"/>
      </rPr>
      <t xml:space="preserve">/</t>
    </r>
    <r>
      <rPr>
        <sz val="10"/>
        <rFont val="DejaVu Sans"/>
        <family val="2"/>
      </rPr>
      <t xml:space="preserve">솔로</t>
    </r>
  </si>
  <si>
    <t xml:space="preserve">확인필요</t>
  </si>
  <si>
    <r>
      <rPr>
        <sz val="10"/>
        <rFont val="Arial"/>
        <family val="0"/>
        <charset val="1"/>
      </rPr>
      <t xml:space="preserve">SM </t>
    </r>
    <r>
      <rPr>
        <sz val="10"/>
        <rFont val="DejaVu Sans"/>
        <family val="2"/>
      </rPr>
      <t xml:space="preserve">첫 버추얼 아티스트</t>
    </r>
    <r>
      <rPr>
        <sz val="10"/>
        <rFont val="Arial"/>
        <family val="0"/>
        <charset val="1"/>
      </rPr>
      <t xml:space="preserve">. 2024.9 Done </t>
    </r>
    <r>
      <rPr>
        <sz val="10"/>
        <rFont val="DejaVu Sans"/>
        <family val="2"/>
      </rPr>
      <t xml:space="preserve">데뷔</t>
    </r>
    <r>
      <rPr>
        <sz val="10"/>
        <rFont val="Arial"/>
        <family val="0"/>
        <charset val="1"/>
      </rPr>
      <t xml:space="preserve">, 2025.8.7 Sensitive </t>
    </r>
    <r>
      <rPr>
        <sz val="10"/>
        <rFont val="DejaVu Sans"/>
        <family val="2"/>
      </rPr>
      <t xml:space="preserve">발매 후 </t>
    </r>
    <r>
      <rPr>
        <sz val="10"/>
        <rFont val="Arial"/>
        <family val="0"/>
        <charset val="1"/>
      </rPr>
      <t xml:space="preserve">~10</t>
    </r>
    <r>
      <rPr>
        <sz val="10"/>
        <rFont val="DejaVu Sans"/>
        <family val="2"/>
      </rPr>
      <t xml:space="preserve">개월 공백—간헐 활동 패턴</t>
    </r>
  </si>
  <si>
    <t xml:space="preserve">APOKI</t>
  </si>
  <si>
    <t xml:space="preserve">아뽀키</t>
  </si>
  <si>
    <t xml:space="preserve">VV Entertainment</t>
  </si>
  <si>
    <t xml:space="preserve">2019</t>
  </si>
  <si>
    <r>
      <rPr>
        <sz val="10"/>
        <rFont val="DejaVu Sans"/>
        <family val="2"/>
      </rPr>
      <t xml:space="preserve">토끼 캐릭터 버추얼 </t>
    </r>
    <r>
      <rPr>
        <sz val="10"/>
        <rFont val="DejaVu Sans"/>
        <family val="2"/>
        <charset val="1"/>
      </rPr>
      <t xml:space="preserve">K</t>
    </r>
    <r>
      <rPr>
        <sz val="10"/>
        <rFont val="DejaVu Sans"/>
        <family val="2"/>
      </rPr>
      <t xml:space="preserve">팝 솔로</t>
    </r>
    <r>
      <rPr>
        <sz val="10"/>
        <rFont val="DejaVu Sans"/>
        <family val="2"/>
        <charset val="1"/>
      </rPr>
      <t xml:space="preserve">. 2025.9 Chemical·11 Miracle(</t>
    </r>
    <r>
      <rPr>
        <sz val="10"/>
        <rFont val="DejaVu Sans"/>
        <family val="2"/>
      </rPr>
      <t xml:space="preserve">강타 작곡</t>
    </r>
    <r>
      <rPr>
        <sz val="10"/>
        <rFont val="DejaVu Sans"/>
        <family val="2"/>
        <charset val="1"/>
      </rPr>
      <t xml:space="preserve">). </t>
    </r>
    <r>
      <rPr>
        <sz val="10"/>
        <rFont val="DejaVu Sans"/>
        <family val="2"/>
      </rPr>
      <t xml:space="preserve">워너뮤직 유통</t>
    </r>
  </si>
  <si>
    <t xml:space="preserve">ETERNITY</t>
  </si>
  <si>
    <t xml:space="preserve">이터니티</t>
  </si>
  <si>
    <r>
      <rPr>
        <sz val="10"/>
        <rFont val="DejaVu Sans"/>
        <family val="2"/>
      </rPr>
      <t xml:space="preserve">펄스나인</t>
    </r>
    <r>
      <rPr>
        <sz val="10"/>
        <rFont val="DejaVu Sans"/>
        <family val="2"/>
        <charset val="1"/>
      </rPr>
      <t xml:space="preserve">(Pulse9)</t>
    </r>
  </si>
  <si>
    <r>
      <rPr>
        <sz val="10"/>
        <rFont val="Arial"/>
        <family val="0"/>
        <charset val="1"/>
      </rPr>
      <t xml:space="preserve">AI(</t>
    </r>
    <r>
      <rPr>
        <sz val="10"/>
        <rFont val="DejaVu Sans"/>
        <family val="2"/>
      </rPr>
      <t xml:space="preserve">딥리얼</t>
    </r>
    <r>
      <rPr>
        <sz val="10"/>
        <rFont val="Arial"/>
        <family val="0"/>
        <charset val="1"/>
      </rPr>
      <t xml:space="preserve">) 11</t>
    </r>
    <r>
      <rPr>
        <sz val="10"/>
        <rFont val="DejaVu Sans"/>
        <family val="2"/>
      </rPr>
      <t xml:space="preserve">인 걸그룹</t>
    </r>
    <r>
      <rPr>
        <sz val="10"/>
        <rFont val="Arial"/>
        <family val="0"/>
        <charset val="1"/>
      </rPr>
      <t xml:space="preserve">. 2025.12 </t>
    </r>
    <r>
      <rPr>
        <sz val="10"/>
        <rFont val="DejaVu Sans"/>
        <family val="2"/>
      </rPr>
      <t xml:space="preserve">첫 정규 </t>
    </r>
    <r>
      <rPr>
        <sz val="10"/>
        <rFont val="Arial"/>
        <family val="0"/>
        <charset val="1"/>
      </rPr>
      <t xml:space="preserve">HELLO WORLD, 2026 </t>
    </r>
    <r>
      <rPr>
        <sz val="10"/>
        <rFont val="DejaVu Sans"/>
        <family val="2"/>
      </rPr>
      <t xml:space="preserve">버티컬 </t>
    </r>
    <r>
      <rPr>
        <sz val="10"/>
        <rFont val="Arial"/>
        <family val="0"/>
        <charset val="1"/>
      </rPr>
      <t xml:space="preserve">MV </t>
    </r>
    <r>
      <rPr>
        <sz val="10"/>
        <rFont val="DejaVu Sans"/>
        <family val="2"/>
      </rPr>
      <t xml:space="preserve">시리즈 전개중</t>
    </r>
    <r>
      <rPr>
        <sz val="10"/>
        <rFont val="Arial"/>
        <family val="0"/>
        <charset val="1"/>
      </rPr>
      <t xml:space="preserve">. </t>
    </r>
    <r>
      <rPr>
        <sz val="10"/>
        <rFont val="DejaVu Sans"/>
        <family val="2"/>
      </rPr>
      <t xml:space="preserve">유튜브 </t>
    </r>
    <r>
      <rPr>
        <sz val="10"/>
        <rFont val="Arial"/>
        <family val="0"/>
        <charset val="1"/>
      </rPr>
      <t xml:space="preserve">20</t>
    </r>
    <r>
      <rPr>
        <sz val="10"/>
        <rFont val="DejaVu Sans"/>
        <family val="2"/>
      </rPr>
      <t xml:space="preserve">만</t>
    </r>
  </si>
  <si>
    <t xml:space="preserve">한유아</t>
  </si>
  <si>
    <t xml:space="preserve">HANYUA</t>
  </si>
  <si>
    <r>
      <rPr>
        <sz val="10"/>
        <rFont val="Noto Sans CJK SC"/>
        <family val="2"/>
        <charset val="1"/>
      </rPr>
      <t xml:space="preserve">KPLUS(</t>
    </r>
    <r>
      <rPr>
        <sz val="10"/>
        <rFont val="DejaVu Sans"/>
        <family val="2"/>
      </rPr>
      <t xml:space="preserve">개발</t>
    </r>
    <r>
      <rPr>
        <sz val="10"/>
        <rFont val="Noto Sans CJK SC"/>
        <family val="2"/>
        <charset val="1"/>
      </rPr>
      <t xml:space="preserve">: </t>
    </r>
    <r>
      <rPr>
        <sz val="10"/>
        <rFont val="DejaVu Sans"/>
        <family val="2"/>
      </rPr>
      <t xml:space="preserve">스마일게이트</t>
    </r>
    <r>
      <rPr>
        <sz val="10"/>
        <rFont val="Noto Sans CJK SC"/>
        <family val="2"/>
        <charset val="1"/>
      </rPr>
      <t xml:space="preserve">·</t>
    </r>
    <r>
      <rPr>
        <sz val="10"/>
        <rFont val="DejaVu Sans"/>
        <family val="2"/>
      </rPr>
      <t xml:space="preserve">자이언트스텝</t>
    </r>
    <r>
      <rPr>
        <sz val="10"/>
        <rFont val="Noto Sans CJK SC"/>
        <family val="2"/>
        <charset val="1"/>
      </rPr>
      <t xml:space="preserve">)</t>
    </r>
  </si>
  <si>
    <r>
      <rPr>
        <sz val="10"/>
        <rFont val="DejaVu Sans"/>
        <family val="2"/>
      </rPr>
      <t xml:space="preserve">버추얼휴먼 솔로</t>
    </r>
    <r>
      <rPr>
        <sz val="10"/>
        <rFont val="DejaVu Sans"/>
        <family val="2"/>
        <charset val="1"/>
      </rPr>
      <t xml:space="preserve">. </t>
    </r>
    <r>
      <rPr>
        <sz val="10"/>
        <rFont val="DejaVu Sans"/>
        <family val="2"/>
      </rPr>
      <t xml:space="preserve">마지막 활동 기록 </t>
    </r>
    <r>
      <rPr>
        <sz val="10"/>
        <rFont val="DejaVu Sans"/>
        <family val="2"/>
        <charset val="1"/>
      </rPr>
      <t xml:space="preserve">2023.6(</t>
    </r>
    <r>
      <rPr>
        <sz val="10"/>
        <rFont val="DejaVu Sans"/>
        <family val="2"/>
      </rPr>
      <t xml:space="preserve">서울국제도서전</t>
    </r>
    <r>
      <rPr>
        <sz val="10"/>
        <rFont val="DejaVu Sans"/>
        <family val="2"/>
        <charset val="1"/>
      </rPr>
      <t xml:space="preserve">). </t>
    </r>
    <r>
      <rPr>
        <sz val="10"/>
        <rFont val="DejaVu Sans"/>
        <family val="2"/>
      </rPr>
      <t xml:space="preserve">음원은 </t>
    </r>
    <r>
      <rPr>
        <sz val="10"/>
        <rFont val="DejaVu Sans"/>
        <family val="2"/>
        <charset val="1"/>
      </rPr>
      <t xml:space="preserve">2023.3 </t>
    </r>
    <r>
      <rPr>
        <sz val="10"/>
        <rFont val="DejaVu Sans"/>
        <family val="2"/>
      </rPr>
      <t xml:space="preserve">보라빛 향기 마지막</t>
    </r>
  </si>
  <si>
    <t xml:space="preserve">오로지</t>
  </si>
  <si>
    <t xml:space="preserve">OROZI/ROZY</t>
  </si>
  <si>
    <t xml:space="preserve">싸이더스 스튜디오 엑스</t>
  </si>
  <si>
    <r>
      <rPr>
        <sz val="10"/>
        <rFont val="DejaVu Sans"/>
        <family val="2"/>
      </rPr>
      <t xml:space="preserve">로지</t>
    </r>
    <r>
      <rPr>
        <sz val="10"/>
        <rFont val="DejaVu Sans"/>
        <family val="2"/>
        <charset val="1"/>
      </rPr>
      <t xml:space="preserve">(ROZY)</t>
    </r>
    <r>
      <rPr>
        <sz val="10"/>
        <rFont val="DejaVu Sans"/>
        <family val="2"/>
      </rPr>
      <t xml:space="preserve">와 동일 인물</t>
    </r>
    <r>
      <rPr>
        <sz val="10"/>
        <rFont val="DejaVu Sans"/>
        <family val="2"/>
        <charset val="1"/>
      </rPr>
      <t xml:space="preserve">. 2020.12 </t>
    </r>
    <r>
      <rPr>
        <sz val="10"/>
        <rFont val="DejaVu Sans"/>
        <family val="2"/>
      </rPr>
      <t xml:space="preserve">국내 첫 버추얼 인플루언서</t>
    </r>
    <r>
      <rPr>
        <sz val="10"/>
        <rFont val="DejaVu Sans"/>
        <family val="2"/>
        <charset val="1"/>
      </rPr>
      <t xml:space="preserve">, 2022.2 Who Am I </t>
    </r>
    <r>
      <rPr>
        <sz val="10"/>
        <rFont val="DejaVu Sans"/>
        <family val="2"/>
      </rPr>
      <t xml:space="preserve">가수 데뷔 후 음원 없음</t>
    </r>
    <r>
      <rPr>
        <sz val="10"/>
        <rFont val="DejaVu Sans"/>
        <family val="2"/>
        <charset val="1"/>
      </rPr>
      <t xml:space="preserve">. SNS </t>
    </r>
    <r>
      <rPr>
        <sz val="10"/>
        <rFont val="DejaVu Sans"/>
        <family val="2"/>
      </rPr>
      <t xml:space="preserve">계정은 유지</t>
    </r>
  </si>
  <si>
    <t xml:space="preserve">사공이호</t>
  </si>
  <si>
    <t xml:space="preserve">SAGONG2HO</t>
  </si>
  <si>
    <t xml:space="preserve">노느니특공대엔터테인먼트</t>
  </si>
  <si>
    <r>
      <rPr>
        <sz val="10"/>
        <rFont val="DejaVu Sans"/>
        <family val="2"/>
      </rPr>
      <t xml:space="preserve">김형석 사단 제작</t>
    </r>
    <r>
      <rPr>
        <sz val="10"/>
        <rFont val="DejaVu Sans"/>
        <family val="2"/>
        <charset val="1"/>
      </rPr>
      <t xml:space="preserve">. 2022.6 WAKE UP </t>
    </r>
    <r>
      <rPr>
        <sz val="10"/>
        <rFont val="DejaVu Sans"/>
        <family val="2"/>
      </rPr>
      <t xml:space="preserve">데뷔</t>
    </r>
    <r>
      <rPr>
        <sz val="10"/>
        <rFont val="DejaVu Sans"/>
        <family val="2"/>
        <charset val="1"/>
      </rPr>
      <t xml:space="preserve">, 2022.10 </t>
    </r>
    <r>
      <rPr>
        <sz val="10"/>
        <rFont val="DejaVu Sans"/>
        <family val="2"/>
      </rPr>
      <t xml:space="preserve">서커스다 이후 발매</t>
    </r>
    <r>
      <rPr>
        <sz val="10"/>
        <rFont val="DejaVu Sans"/>
        <family val="2"/>
        <charset val="1"/>
      </rPr>
      <t xml:space="preserve">·</t>
    </r>
    <r>
      <rPr>
        <sz val="10"/>
        <rFont val="DejaVu Sans"/>
        <family val="2"/>
      </rPr>
      <t xml:space="preserve">보도 없음</t>
    </r>
  </si>
  <si>
    <t xml:space="preserve">V-LUP</t>
  </si>
  <si>
    <t xml:space="preserve">브이럽</t>
  </si>
  <si>
    <t xml:space="preserve">크리에이터버스</t>
  </si>
  <si>
    <r>
      <rPr>
        <sz val="10"/>
        <rFont val="DejaVu Sans"/>
        <family val="2"/>
      </rPr>
      <t xml:space="preserve">스트리밍</t>
    </r>
    <r>
      <rPr>
        <sz val="10"/>
        <rFont val="DejaVu Sans"/>
        <family val="2"/>
        <charset val="1"/>
      </rPr>
      <t xml:space="preserve">/MCN</t>
    </r>
    <r>
      <rPr>
        <sz val="10"/>
        <rFont val="DejaVu Sans"/>
        <family val="2"/>
      </rPr>
      <t xml:space="preserve">형</t>
    </r>
  </si>
  <si>
    <r>
      <rPr>
        <sz val="10"/>
        <rFont val="Arial"/>
        <family val="0"/>
        <charset val="1"/>
      </rPr>
      <t xml:space="preserve">2026.1 </t>
    </r>
    <r>
      <rPr>
        <sz val="10"/>
        <rFont val="DejaVu Sans"/>
        <family val="2"/>
      </rPr>
      <t xml:space="preserve">기준 이주인 포함 </t>
    </r>
    <r>
      <rPr>
        <sz val="10"/>
        <rFont val="Arial"/>
        <family val="0"/>
        <charset val="1"/>
      </rPr>
      <t xml:space="preserve">5</t>
    </r>
    <r>
      <rPr>
        <sz val="10"/>
        <rFont val="DejaVu Sans"/>
        <family val="2"/>
      </rPr>
      <t xml:space="preserve">명 소속</t>
    </r>
  </si>
  <si>
    <t xml:space="preserve">VRECORD</t>
  </si>
  <si>
    <t xml:space="preserve">브이레코드</t>
  </si>
  <si>
    <r>
      <rPr>
        <sz val="10"/>
        <rFont val="DejaVu Sans"/>
        <family val="2"/>
      </rPr>
      <t xml:space="preserve">상시 멤버 모집 </t>
    </r>
    <r>
      <rPr>
        <sz val="10"/>
        <rFont val="DejaVu Sans"/>
        <family val="2"/>
        <charset val="1"/>
      </rPr>
      <t xml:space="preserve">MCN</t>
    </r>
  </si>
  <si>
    <t xml:space="preserve">V&amp;U</t>
  </si>
  <si>
    <t xml:space="preserve">브이엔유</t>
  </si>
  <si>
    <r>
      <rPr>
        <sz val="10"/>
        <rFont val="DejaVu Sans"/>
        <family val="2"/>
      </rPr>
      <t xml:space="preserve">마로스튜디오</t>
    </r>
    <r>
      <rPr>
        <sz val="10"/>
        <rFont val="DejaVu Sans"/>
        <family val="2"/>
        <charset val="1"/>
      </rPr>
      <t xml:space="preserve">·</t>
    </r>
    <r>
      <rPr>
        <sz val="10"/>
        <rFont val="DejaVu Sans"/>
        <family val="2"/>
      </rPr>
      <t xml:space="preserve">메타로</t>
    </r>
  </si>
  <si>
    <t xml:space="preserve">마로스튜디오 자회사 메타로 산하</t>
  </si>
  <si>
    <t xml:space="preserve">일루전 라이브</t>
  </si>
  <si>
    <t xml:space="preserve">ILLUSION LIVE</t>
  </si>
  <si>
    <r>
      <rPr>
        <sz val="10"/>
        <rFont val="DejaVu Sans"/>
        <family val="2"/>
      </rPr>
      <t xml:space="preserve">냐루</t>
    </r>
    <r>
      <rPr>
        <sz val="10"/>
        <rFont val="DejaVu Sans"/>
        <family val="2"/>
        <charset val="1"/>
      </rPr>
      <t xml:space="preserve">·</t>
    </r>
    <r>
      <rPr>
        <sz val="10"/>
        <rFont val="DejaVu Sans"/>
        <family val="2"/>
      </rPr>
      <t xml:space="preserve">청예솔</t>
    </r>
    <r>
      <rPr>
        <sz val="10"/>
        <rFont val="DejaVu Sans"/>
        <family val="2"/>
        <charset val="1"/>
      </rPr>
      <t xml:space="preserve">·</t>
    </r>
    <r>
      <rPr>
        <sz val="10"/>
        <rFont val="DejaVu Sans"/>
        <family val="2"/>
      </rPr>
      <t xml:space="preserve">서몽</t>
    </r>
    <r>
      <rPr>
        <sz val="10"/>
        <rFont val="DejaVu Sans"/>
        <family val="2"/>
        <charset val="1"/>
      </rPr>
      <t xml:space="preserve">·</t>
    </r>
    <r>
      <rPr>
        <sz val="10"/>
        <rFont val="DejaVu Sans"/>
        <family val="2"/>
      </rPr>
      <t xml:space="preserve">루스티카나</t>
    </r>
    <r>
      <rPr>
        <sz val="10"/>
        <rFont val="DejaVu Sans"/>
        <family val="2"/>
        <charset val="1"/>
      </rPr>
      <t xml:space="preserve">·</t>
    </r>
    <r>
      <rPr>
        <sz val="10"/>
        <rFont val="DejaVu Sans"/>
        <family val="2"/>
      </rPr>
      <t xml:space="preserve">후유노</t>
    </r>
  </si>
  <si>
    <t xml:space="preserve">버츄얼 헤르츠</t>
  </si>
  <si>
    <t xml:space="preserve">VIRTUAL HERTZ</t>
  </si>
  <si>
    <t xml:space="preserve">데뷔 시 오리지널곡 공개가 특징</t>
  </si>
  <si>
    <t xml:space="preserve">V-llage</t>
  </si>
  <si>
    <t xml:space="preserve">브이리지</t>
  </si>
  <si>
    <t xml:space="preserve">데브메이트</t>
  </si>
  <si>
    <r>
      <rPr>
        <sz val="10"/>
        <rFont val="Arial"/>
        <family val="0"/>
        <charset val="1"/>
      </rPr>
      <t xml:space="preserve">2026.1 </t>
    </r>
    <r>
      <rPr>
        <sz val="10"/>
        <rFont val="DejaVu Sans"/>
        <family val="2"/>
      </rPr>
      <t xml:space="preserve">기준 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명 활동</t>
    </r>
  </si>
  <si>
    <t xml:space="preserve">레븐</t>
  </si>
  <si>
    <t xml:space="preserve">LEAVEN</t>
  </si>
  <si>
    <r>
      <rPr>
        <sz val="10"/>
        <rFont val="Arial"/>
        <family val="0"/>
        <charset val="1"/>
      </rPr>
      <t xml:space="preserve">(</t>
    </r>
    <r>
      <rPr>
        <sz val="10"/>
        <rFont val="DejaVu Sans"/>
        <family val="2"/>
      </rPr>
      <t xml:space="preserve">무소속 크루</t>
    </r>
    <r>
      <rPr>
        <sz val="10"/>
        <rFont val="Arial"/>
        <family val="0"/>
        <charset val="1"/>
      </rPr>
      <t xml:space="preserve">)</t>
    </r>
  </si>
  <si>
    <r>
      <rPr>
        <sz val="10"/>
        <rFont val="DejaVu Sans"/>
        <family val="2"/>
      </rPr>
      <t xml:space="preserve">이세돌 탈락자 출신 </t>
    </r>
    <r>
      <rPr>
        <sz val="10"/>
        <rFont val="DejaVu Sans"/>
        <family val="2"/>
        <charset val="1"/>
      </rPr>
      <t xml:space="preserve">9</t>
    </r>
    <r>
      <rPr>
        <sz val="10"/>
        <rFont val="DejaVu Sans"/>
        <family val="2"/>
      </rPr>
      <t xml:space="preserve">인 커버크루</t>
    </r>
    <r>
      <rPr>
        <sz val="10"/>
        <rFont val="DejaVu Sans"/>
        <family val="2"/>
        <charset val="1"/>
      </rPr>
      <t xml:space="preserve">. SOOP</t>
    </r>
  </si>
  <si>
    <t xml:space="preserve">스타게이저</t>
  </si>
  <si>
    <t xml:space="preserve">Stargazer</t>
  </si>
  <si>
    <t xml:space="preserve">버추얼 유튜버 기업</t>
  </si>
  <si>
    <t xml:space="preserve">싸이코드</t>
  </si>
  <si>
    <t xml:space="preserve">PsyCode</t>
  </si>
  <si>
    <t xml:space="preserve">러브다이아</t>
  </si>
  <si>
    <t xml:space="preserve">LOVEDIA</t>
  </si>
  <si>
    <t xml:space="preserve">오버더월</t>
  </si>
  <si>
    <t xml:space="preserve">오버더월 산하</t>
  </si>
  <si>
    <t xml:space="preserve">미츄</t>
  </si>
  <si>
    <t xml:space="preserve">meechu</t>
  </si>
  <si>
    <t xml:space="preserve">스텔라이브</t>
  </si>
  <si>
    <t xml:space="preserve">StelLive</t>
  </si>
  <si>
    <r>
      <rPr>
        <sz val="10"/>
        <rFont val="DejaVu Sans"/>
        <family val="2"/>
      </rPr>
      <t xml:space="preserve">스텔라이브→</t>
    </r>
    <r>
      <rPr>
        <sz val="10"/>
        <rFont val="DejaVu Sans"/>
        <family val="2"/>
        <charset val="1"/>
      </rPr>
      <t xml:space="preserve">Brave group</t>
    </r>
  </si>
  <si>
    <r>
      <rPr>
        <sz val="10"/>
        <rFont val="DejaVu Sans"/>
        <family val="2"/>
      </rPr>
      <t xml:space="preserve">강지 설립</t>
    </r>
    <r>
      <rPr>
        <sz val="10"/>
        <rFont val="DejaVu Sans"/>
        <family val="2"/>
        <charset val="1"/>
      </rPr>
      <t xml:space="preserve">. </t>
    </r>
    <r>
      <rPr>
        <sz val="10"/>
        <rFont val="DejaVu Sans"/>
        <family val="2"/>
      </rPr>
      <t xml:space="preserve">치지직</t>
    </r>
    <r>
      <rPr>
        <sz val="10"/>
        <rFont val="DejaVu Sans"/>
        <family val="2"/>
        <charset val="1"/>
      </rPr>
      <t xml:space="preserve">. </t>
    </r>
    <r>
      <rPr>
        <sz val="10"/>
        <rFont val="DejaVu Sans"/>
        <family val="2"/>
      </rPr>
      <t xml:space="preserve">유니버스</t>
    </r>
    <r>
      <rPr>
        <sz val="10"/>
        <rFont val="DejaVu Sans"/>
        <family val="2"/>
        <charset val="1"/>
      </rPr>
      <t xml:space="preserve">·</t>
    </r>
    <r>
      <rPr>
        <sz val="10"/>
        <rFont val="DejaVu Sans"/>
        <family val="2"/>
      </rPr>
      <t xml:space="preserve">클리셰</t>
    </r>
    <r>
      <rPr>
        <sz val="10"/>
        <rFont val="DejaVu Sans"/>
        <family val="2"/>
        <charset val="1"/>
      </rPr>
      <t xml:space="preserve">·</t>
    </r>
    <r>
      <rPr>
        <sz val="10"/>
        <rFont val="DejaVu Sans"/>
        <family val="2"/>
      </rPr>
      <t xml:space="preserve">에버리스</t>
    </r>
    <r>
      <rPr>
        <sz val="10"/>
        <rFont val="DejaVu Sans"/>
        <family val="2"/>
        <charset val="1"/>
      </rPr>
      <t xml:space="preserve">. 2025.7 </t>
    </r>
    <r>
      <rPr>
        <sz val="10"/>
        <rFont val="DejaVu Sans"/>
        <family val="2"/>
      </rPr>
      <t xml:space="preserve">브레이브그룹 인수</t>
    </r>
  </si>
  <si>
    <t xml:space="preserve">뻐스시간</t>
  </si>
  <si>
    <t xml:space="preserve">Bus Time</t>
  </si>
  <si>
    <r>
      <rPr>
        <sz val="10"/>
        <rFont val="Arial"/>
        <family val="0"/>
        <charset val="1"/>
      </rPr>
      <t xml:space="preserve">(</t>
    </r>
    <r>
      <rPr>
        <sz val="10"/>
        <rFont val="DejaVu Sans"/>
        <family val="2"/>
      </rPr>
      <t xml:space="preserve">크루</t>
    </r>
    <r>
      <rPr>
        <sz val="10"/>
        <rFont val="Arial"/>
        <family val="0"/>
        <charset val="1"/>
      </rPr>
      <t xml:space="preserve">)</t>
    </r>
  </si>
  <si>
    <t xml:space="preserve">스타데이즈</t>
  </si>
  <si>
    <t xml:space="preserve">StarDays</t>
  </si>
  <si>
    <t xml:space="preserve">블루점프</t>
  </si>
  <si>
    <t xml:space="preserve">Blue Jump</t>
  </si>
  <si>
    <t xml:space="preserve">팔레트</t>
  </si>
  <si>
    <t xml:space="preserve">Palette</t>
  </si>
  <si>
    <t xml:space="preserve">AkaiV Studio</t>
  </si>
  <si>
    <t xml:space="preserve">아카이브 스튜디오</t>
  </si>
  <si>
    <t xml:space="preserve">리스텔라</t>
  </si>
  <si>
    <t xml:space="preserve">Riztella</t>
  </si>
  <si>
    <t xml:space="preserve">AESTHER</t>
  </si>
  <si>
    <t xml:space="preserve">에스더</t>
  </si>
  <si>
    <t xml:space="preserve">포더모어</t>
  </si>
  <si>
    <t xml:space="preserve">Furthermore</t>
  </si>
  <si>
    <r>
      <rPr>
        <sz val="10"/>
        <rFont val="DejaVu Sans"/>
        <family val="2"/>
      </rPr>
      <t xml:space="preserve">버튜버 아이돌</t>
    </r>
    <r>
      <rPr>
        <sz val="10"/>
        <rFont val="DejaVu Sans"/>
        <family val="2"/>
        <charset val="1"/>
      </rPr>
      <t xml:space="preserve">(</t>
    </r>
    <r>
      <rPr>
        <sz val="10"/>
        <rFont val="DejaVu Sans"/>
        <family val="2"/>
      </rPr>
      <t xml:space="preserve">앨범 발매</t>
    </r>
    <r>
      <rPr>
        <sz val="10"/>
        <rFont val="DejaVu Sans"/>
        <family val="2"/>
        <charset val="1"/>
      </rPr>
      <t xml:space="preserve">+</t>
    </r>
    <r>
      <rPr>
        <sz val="10"/>
        <rFont val="DejaVu Sans"/>
        <family val="2"/>
      </rPr>
      <t xml:space="preserve">방송</t>
    </r>
    <r>
      <rPr>
        <sz val="10"/>
        <rFont val="DejaVu Sans"/>
        <family val="2"/>
        <charset val="1"/>
      </rPr>
      <t xml:space="preserve">)</t>
    </r>
  </si>
  <si>
    <t xml:space="preserve">스코시즘</t>
  </si>
  <si>
    <t xml:space="preserve">Scochism</t>
  </si>
  <si>
    <t xml:space="preserve">버튜버 아이돌</t>
  </si>
  <si>
    <t xml:space="preserve">큐버스</t>
  </si>
  <si>
    <t xml:space="preserve">Quverse</t>
  </si>
  <si>
    <t xml:space="preserve">라이브루리</t>
  </si>
  <si>
    <t xml:space="preserve">LiveRuri</t>
  </si>
  <si>
    <t xml:space="preserve">플레이 바이 스쿨</t>
  </si>
  <si>
    <t xml:space="preserve">Play by School</t>
  </si>
  <si>
    <t xml:space="preserve">VLYZ</t>
  </si>
  <si>
    <t xml:space="preserve">브이리즈</t>
  </si>
  <si>
    <r>
      <rPr>
        <sz val="10"/>
        <rFont val="DejaVu Sans"/>
        <family val="2"/>
      </rPr>
      <t xml:space="preserve">브이넥서스</t>
    </r>
    <r>
      <rPr>
        <sz val="10"/>
        <rFont val="DejaVu Sans"/>
        <family val="2"/>
        <charset val="1"/>
      </rPr>
      <t xml:space="preserve">(</t>
    </r>
    <r>
      <rPr>
        <sz val="10"/>
        <rFont val="DejaVu Sans"/>
        <family val="2"/>
      </rPr>
      <t xml:space="preserve">종료</t>
    </r>
    <r>
      <rPr>
        <sz val="10"/>
        <rFont val="DejaVu Sans"/>
        <family val="2"/>
        <charset val="1"/>
      </rPr>
      <t xml:space="preserve">)→</t>
    </r>
    <r>
      <rPr>
        <sz val="10"/>
        <rFont val="DejaVu Sans"/>
        <family val="2"/>
      </rPr>
      <t xml:space="preserve">개인세</t>
    </r>
  </si>
  <si>
    <t xml:space="preserve">전환</t>
  </si>
  <si>
    <r>
      <rPr>
        <sz val="10"/>
        <rFont val="DejaVu Sans"/>
        <family val="2"/>
      </rPr>
      <t xml:space="preserve">걸그룹</t>
    </r>
    <r>
      <rPr>
        <sz val="10"/>
        <rFont val="DejaVu Sans"/>
        <family val="2"/>
        <charset val="1"/>
      </rPr>
      <t xml:space="preserve">. 2024.6 </t>
    </r>
    <r>
      <rPr>
        <sz val="10"/>
        <rFont val="DejaVu Sans"/>
        <family val="2"/>
      </rPr>
      <t xml:space="preserve">소속사 종료로 개인세 전환</t>
    </r>
  </si>
  <si>
    <t xml:space="preserve">Artisons</t>
  </si>
  <si>
    <t xml:space="preserve">아티슨즈</t>
  </si>
  <si>
    <t xml:space="preserve">플라티</t>
  </si>
  <si>
    <t xml:space="preserve">Plati</t>
  </si>
  <si>
    <t xml:space="preserve">HONEYZ</t>
  </si>
  <si>
    <t xml:space="preserve">허니즈</t>
  </si>
  <si>
    <r>
      <rPr>
        <sz val="10"/>
        <rFont val="Arial"/>
        <family val="0"/>
        <charset val="1"/>
      </rPr>
      <t xml:space="preserve">(</t>
    </r>
    <r>
      <rPr>
        <sz val="10"/>
        <rFont val="DejaVu Sans"/>
        <family val="2"/>
      </rPr>
      <t xml:space="preserve">허니츄러스 중심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</si>
  <si>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2024.1 </t>
    </r>
    <r>
      <rPr>
        <sz val="10"/>
        <rFont val="DejaVu Sans"/>
        <family val="2"/>
      </rPr>
      <t xml:space="preserve">데뷔</t>
    </r>
    <r>
      <rPr>
        <sz val="10"/>
        <rFont val="Arial"/>
        <family val="0"/>
        <charset val="1"/>
      </rPr>
      <t xml:space="preserve">. 2024.2 </t>
    </r>
    <r>
      <rPr>
        <sz val="10"/>
        <rFont val="DejaVu Sans"/>
        <family val="2"/>
      </rPr>
      <t xml:space="preserve">치지직 이적</t>
    </r>
  </si>
  <si>
    <t xml:space="preserve">PROJECT Serenity</t>
  </si>
  <si>
    <t xml:space="preserve">프로젝트 세레니티</t>
  </si>
  <si>
    <t xml:space="preserve">플랙스뉴럴랩스</t>
  </si>
  <si>
    <t xml:space="preserve">위싱 라이브</t>
  </si>
  <si>
    <t xml:space="preserve">Wishing Live</t>
  </si>
  <si>
    <t xml:space="preserve">브이아이</t>
  </si>
  <si>
    <t xml:space="preserve">V.I</t>
  </si>
  <si>
    <t xml:space="preserve">몽상컴퍼니</t>
  </si>
  <si>
    <t xml:space="preserve">Mongsang Company</t>
  </si>
  <si>
    <t xml:space="preserve">스테이터스</t>
  </si>
  <si>
    <t xml:space="preserve">Status</t>
  </si>
  <si>
    <t xml:space="preserve">아쿠아벨</t>
  </si>
  <si>
    <t xml:space="preserve">Aquabell</t>
  </si>
  <si>
    <t xml:space="preserve">Plan.B Music</t>
  </si>
  <si>
    <t xml:space="preserve">플랜비뮤직</t>
  </si>
  <si>
    <r>
      <rPr>
        <sz val="10"/>
        <rFont val="DejaVu Sans"/>
        <family val="2"/>
      </rPr>
      <t xml:space="preserve">플랜비뮤직</t>
    </r>
    <r>
      <rPr>
        <sz val="10"/>
        <rFont val="DejaVu Sans"/>
        <family val="2"/>
        <charset val="1"/>
      </rPr>
      <t xml:space="preserve">(</t>
    </r>
    <r>
      <rPr>
        <sz val="10"/>
        <rFont val="DejaVu Sans"/>
        <family val="2"/>
      </rPr>
      <t xml:space="preserve">대표 빕어</t>
    </r>
    <r>
      <rPr>
        <sz val="10"/>
        <rFont val="DejaVu Sans"/>
        <family val="2"/>
        <charset val="1"/>
      </rPr>
      <t xml:space="preserve">)</t>
    </r>
  </si>
  <si>
    <r>
      <rPr>
        <sz val="10"/>
        <rFont val="DejaVu Sans"/>
        <family val="2"/>
      </rPr>
      <t xml:space="preserve">버추얼 힙합 레이블</t>
    </r>
    <r>
      <rPr>
        <sz val="10"/>
        <rFont val="DejaVu Sans"/>
        <family val="2"/>
        <charset val="1"/>
      </rPr>
      <t xml:space="preserve">. SOOP+</t>
    </r>
    <r>
      <rPr>
        <sz val="10"/>
        <rFont val="DejaVu Sans"/>
        <family val="2"/>
      </rPr>
      <t xml:space="preserve">유튜브 활동</t>
    </r>
    <r>
      <rPr>
        <sz val="10"/>
        <rFont val="DejaVu Sans"/>
        <family val="2"/>
        <charset val="1"/>
      </rPr>
      <t xml:space="preserve">. 2024.7 </t>
    </r>
    <r>
      <rPr>
        <sz val="10"/>
        <rFont val="DejaVu Sans"/>
        <family val="2"/>
      </rPr>
      <t xml:space="preserve">설립</t>
    </r>
  </si>
  <si>
    <t xml:space="preserve">Re:AcT KR</t>
  </si>
  <si>
    <r>
      <rPr>
        <sz val="10"/>
        <rFont val="DejaVu Sans"/>
        <family val="2"/>
      </rPr>
      <t xml:space="preserve">리액트 </t>
    </r>
    <r>
      <rPr>
        <sz val="10"/>
        <rFont val="DejaVu Sans"/>
        <family val="2"/>
        <charset val="1"/>
      </rPr>
      <t xml:space="preserve">KR</t>
    </r>
  </si>
  <si>
    <r>
      <rPr>
        <sz val="10"/>
        <rFont val="Arial"/>
        <family val="0"/>
        <charset val="1"/>
      </rPr>
      <t xml:space="preserve">Re:AcT(</t>
    </r>
    <r>
      <rPr>
        <sz val="10"/>
        <rFont val="DejaVu Sans"/>
        <family val="2"/>
      </rPr>
      <t xml:space="preserve">일본</t>
    </r>
    <r>
      <rPr>
        <sz val="10"/>
        <rFont val="Arial"/>
        <family val="0"/>
        <charset val="1"/>
      </rPr>
      <t xml:space="preserve">)</t>
    </r>
  </si>
  <si>
    <r>
      <rPr>
        <sz val="10"/>
        <rFont val="DejaVu Sans"/>
        <family val="2"/>
      </rPr>
      <t xml:space="preserve">일본 </t>
    </r>
    <r>
      <rPr>
        <sz val="10"/>
        <rFont val="DejaVu Sans"/>
        <family val="2"/>
        <charset val="1"/>
      </rPr>
      <t xml:space="preserve">Re:AcT </t>
    </r>
    <r>
      <rPr>
        <sz val="10"/>
        <rFont val="DejaVu Sans"/>
        <family val="2"/>
      </rPr>
      <t xml:space="preserve">한국 지부</t>
    </r>
  </si>
  <si>
    <t xml:space="preserve">GRIM PRODUCTION (WISHes)</t>
  </si>
  <si>
    <r>
      <rPr>
        <sz val="10"/>
        <rFont val="DejaVu Sans"/>
        <family val="2"/>
      </rPr>
      <t xml:space="preserve">그림프로덕션</t>
    </r>
    <r>
      <rPr>
        <sz val="10"/>
        <rFont val="DejaVu Sans"/>
        <family val="2"/>
        <charset val="1"/>
      </rPr>
      <t xml:space="preserve">(</t>
    </r>
    <r>
      <rPr>
        <sz val="10"/>
        <rFont val="DejaVu Sans"/>
        <family val="2"/>
      </rPr>
      <t xml:space="preserve">위시스</t>
    </r>
    <r>
      <rPr>
        <sz val="10"/>
        <rFont val="DejaVu Sans"/>
        <family val="2"/>
        <charset val="1"/>
      </rPr>
      <t xml:space="preserve">)</t>
    </r>
  </si>
  <si>
    <t xml:space="preserve">그림프로덕션</t>
  </si>
  <si>
    <r>
      <rPr>
        <sz val="10"/>
        <rFont val="DejaVu Sans"/>
        <family val="2"/>
      </rPr>
      <t xml:space="preserve">위시스</t>
    </r>
    <r>
      <rPr>
        <sz val="10"/>
        <rFont val="DejaVu Sans"/>
        <family val="2"/>
        <charset val="1"/>
      </rPr>
      <t xml:space="preserve">(WISHes) </t>
    </r>
    <r>
      <rPr>
        <sz val="10"/>
        <rFont val="DejaVu Sans"/>
        <family val="2"/>
      </rPr>
      <t xml:space="preserve">운영</t>
    </r>
  </si>
  <si>
    <t xml:space="preserve">PJX</t>
  </si>
  <si>
    <t xml:space="preserve">피제이엑스</t>
  </si>
  <si>
    <t xml:space="preserve">D-ESTER</t>
  </si>
  <si>
    <t xml:space="preserve">디에스터</t>
  </si>
  <si>
    <t xml:space="preserve">방과후버튜버</t>
  </si>
  <si>
    <t xml:space="preserve">After School VTuber</t>
  </si>
  <si>
    <t xml:space="preserve">베리타</t>
  </si>
  <si>
    <t xml:space="preserve">Verita</t>
  </si>
  <si>
    <t xml:space="preserve">스타드림컴퍼니</t>
  </si>
  <si>
    <t xml:space="preserve">StarDream Company</t>
  </si>
  <si>
    <t xml:space="preserve">HANAVI</t>
  </si>
  <si>
    <t xml:space="preserve">하나비</t>
  </si>
  <si>
    <t xml:space="preserve">UR:L</t>
  </si>
  <si>
    <t xml:space="preserve">유알엘</t>
  </si>
  <si>
    <t xml:space="preserve">샌드박스 네트워크</t>
  </si>
  <si>
    <t xml:space="preserve">샌드박스 산하</t>
  </si>
  <si>
    <t xml:space="preserve">GRIM PLAYGROUND</t>
  </si>
  <si>
    <t xml:space="preserve">그림 플레이그라운드</t>
  </si>
  <si>
    <t xml:space="preserve">브이퍼리</t>
  </si>
  <si>
    <t xml:space="preserve">Vferry</t>
  </si>
  <si>
    <t xml:space="preserve">스타게이저 산하</t>
  </si>
  <si>
    <t xml:space="preserve">버컴퍼니</t>
  </si>
  <si>
    <t xml:space="preserve">Ver Company</t>
  </si>
  <si>
    <t xml:space="preserve">다락캐스트</t>
  </si>
  <si>
    <t xml:space="preserve">Darak Cast</t>
  </si>
  <si>
    <t xml:space="preserve">다락방친구들</t>
  </si>
  <si>
    <t xml:space="preserve">엘리브에잇</t>
  </si>
  <si>
    <t xml:space="preserve">Elev8</t>
  </si>
  <si>
    <t xml:space="preserve">크로아</t>
  </si>
  <si>
    <t xml:space="preserve">Croa</t>
  </si>
  <si>
    <t xml:space="preserve">악어크루</t>
  </si>
  <si>
    <t xml:space="preserve">악어크루 산하</t>
  </si>
  <si>
    <t xml:space="preserve">헤이븐 프로덕션</t>
  </si>
  <si>
    <t xml:space="preserve">Haven Production</t>
  </si>
  <si>
    <t xml:space="preserve">베이블루 아카데미</t>
  </si>
  <si>
    <t xml:space="preserve">Bayblue Academy</t>
  </si>
  <si>
    <t xml:space="preserve">ACAXIA</t>
  </si>
  <si>
    <t xml:space="preserve">아카시아</t>
  </si>
  <si>
    <t xml:space="preserve">루나모아</t>
  </si>
  <si>
    <t xml:space="preserve">Lunamore</t>
  </si>
  <si>
    <t xml:space="preserve">사령화</t>
  </si>
  <si>
    <t xml:space="preserve">Saryeonghwa</t>
  </si>
  <si>
    <t xml:space="preserve">플라네타</t>
  </si>
  <si>
    <t xml:space="preserve">Planeta</t>
  </si>
  <si>
    <t xml:space="preserve">인챈트 엔터테인먼트</t>
  </si>
  <si>
    <r>
      <rPr>
        <sz val="10"/>
        <rFont val="DejaVu Sans"/>
        <family val="2"/>
      </rPr>
      <t xml:space="preserve">치지직 기반</t>
    </r>
    <r>
      <rPr>
        <sz val="10"/>
        <rFont val="DejaVu Sans"/>
        <family val="2"/>
        <charset val="1"/>
      </rPr>
      <t xml:space="preserve">. 1</t>
    </r>
    <r>
      <rPr>
        <sz val="10"/>
        <rFont val="DejaVu Sans"/>
        <family val="2"/>
      </rPr>
      <t xml:space="preserve">기 유닛 데네브</t>
    </r>
    <r>
      <rPr>
        <sz val="10"/>
        <rFont val="DejaVu Sans"/>
        <family val="2"/>
        <charset val="1"/>
      </rPr>
      <t xml:space="preserve">(</t>
    </r>
    <r>
      <rPr>
        <sz val="10"/>
        <rFont val="DejaVu Sans"/>
        <family val="2"/>
      </rPr>
      <t xml:space="preserve">아마네 나기</t>
    </r>
    <r>
      <rPr>
        <sz val="10"/>
        <rFont val="DejaVu Sans"/>
        <family val="2"/>
        <charset val="1"/>
      </rPr>
      <t xml:space="preserve">·</t>
    </r>
    <r>
      <rPr>
        <sz val="10"/>
        <rFont val="DejaVu Sans"/>
        <family val="2"/>
      </rPr>
      <t xml:space="preserve">카네코 파냐</t>
    </r>
    <r>
      <rPr>
        <sz val="10"/>
        <rFont val="DejaVu Sans"/>
        <family val="2"/>
        <charset val="1"/>
      </rPr>
      <t xml:space="preserve">·</t>
    </r>
    <r>
      <rPr>
        <sz val="10"/>
        <rFont val="DejaVu Sans"/>
        <family val="2"/>
      </rPr>
      <t xml:space="preserve">치치</t>
    </r>
    <r>
      <rPr>
        <sz val="10"/>
        <rFont val="DejaVu Sans"/>
        <family val="2"/>
        <charset val="1"/>
      </rPr>
      <t xml:space="preserve">·</t>
    </r>
    <r>
      <rPr>
        <sz val="10"/>
        <rFont val="DejaVu Sans"/>
        <family val="2"/>
      </rPr>
      <t xml:space="preserve">쿠온 레이</t>
    </r>
    <r>
      <rPr>
        <sz val="10"/>
        <rFont val="DejaVu Sans"/>
        <family val="2"/>
        <charset val="1"/>
      </rPr>
      <t xml:space="preserve">) 2026.5.30 </t>
    </r>
    <r>
      <rPr>
        <sz val="10"/>
        <rFont val="DejaVu Sans"/>
        <family val="2"/>
      </rPr>
      <t xml:space="preserve">데뷔</t>
    </r>
  </si>
  <si>
    <t xml:space="preserve">링크</t>
  </si>
  <si>
    <t xml:space="preserve">LINK</t>
  </si>
  <si>
    <r>
      <rPr>
        <sz val="10"/>
        <rFont val="DejaVu Sans"/>
        <family val="2"/>
      </rPr>
      <t xml:space="preserve">엘브이넥서스</t>
    </r>
    <r>
      <rPr>
        <sz val="10"/>
        <rFont val="DejaVu Sans"/>
        <family val="2"/>
        <charset val="1"/>
      </rPr>
      <t xml:space="preserve">(LV NEXUS·</t>
    </r>
    <r>
      <rPr>
        <sz val="10"/>
        <rFont val="DejaVu Sans"/>
        <family val="2"/>
      </rPr>
      <t xml:space="preserve">추정</t>
    </r>
    <r>
      <rPr>
        <sz val="10"/>
        <rFont val="DejaVu Sans"/>
        <family val="2"/>
        <charset val="1"/>
      </rPr>
      <t xml:space="preserve">)</t>
    </r>
  </si>
  <si>
    <r>
      <rPr>
        <sz val="10"/>
        <rFont val="Arial"/>
        <family val="0"/>
        <charset val="1"/>
      </rPr>
      <t xml:space="preserve">2026.1.23 </t>
    </r>
    <r>
      <rPr>
        <sz val="10"/>
        <rFont val="DejaVu Sans"/>
        <family val="2"/>
      </rPr>
      <t xml:space="preserve">데뷔 여성 버추얼 아이돌</t>
    </r>
    <r>
      <rPr>
        <sz val="10"/>
        <rFont val="Arial"/>
        <family val="0"/>
        <charset val="1"/>
      </rPr>
      <t xml:space="preserve">. </t>
    </r>
    <r>
      <rPr>
        <sz val="10"/>
        <rFont val="DejaVu Sans"/>
        <family val="2"/>
      </rPr>
      <t xml:space="preserve">운영사</t>
    </r>
    <r>
      <rPr>
        <sz val="10"/>
        <rFont val="Arial"/>
        <family val="0"/>
        <charset val="1"/>
      </rPr>
      <t xml:space="preserve">=</t>
    </r>
    <r>
      <rPr>
        <sz val="10"/>
        <rFont val="DejaVu Sans"/>
        <family val="2"/>
      </rPr>
      <t xml:space="preserve">보도자료 제공처 기준</t>
    </r>
    <r>
      <rPr>
        <sz val="10"/>
        <rFont val="Arial"/>
        <family val="0"/>
        <charset val="1"/>
      </rPr>
      <t xml:space="preserve">(</t>
    </r>
    <r>
      <rPr>
        <sz val="10"/>
        <rFont val="DejaVu Sans"/>
        <family val="2"/>
      </rPr>
      <t xml:space="preserve">한경 </t>
    </r>
    <r>
      <rPr>
        <sz val="10"/>
        <rFont val="Arial"/>
        <family val="0"/>
        <charset val="1"/>
      </rPr>
      <t xml:space="preserve">2025.12.9). </t>
    </r>
    <r>
      <rPr>
        <sz val="10"/>
        <rFont val="DejaVu Sans"/>
        <family val="2"/>
      </rPr>
      <t xml:space="preserve">크리스털</t>
    </r>
    <r>
      <rPr>
        <sz val="10"/>
        <rFont val="Arial"/>
        <family val="0"/>
        <charset val="1"/>
      </rPr>
      <t xml:space="preserve">·</t>
    </r>
    <r>
      <rPr>
        <sz val="10"/>
        <rFont val="DejaVu Sans"/>
        <family val="2"/>
      </rPr>
      <t xml:space="preserve">연결 세계관</t>
    </r>
  </si>
  <si>
    <t xml:space="preserve">걸즈원</t>
  </si>
  <si>
    <t xml:space="preserve">GIRLZONE</t>
  </si>
  <si>
    <r>
      <rPr>
        <sz val="10"/>
        <rFont val="DejaVu Sans"/>
        <family val="2"/>
      </rPr>
      <t xml:space="preserve">트윈버스</t>
    </r>
    <r>
      <rPr>
        <sz val="10"/>
        <rFont val="DejaVu Sans"/>
        <family val="2"/>
        <charset val="1"/>
      </rPr>
      <t xml:space="preserve">(TWIN VERSE)</t>
    </r>
  </si>
  <si>
    <r>
      <rPr>
        <sz val="10"/>
        <rFont val="Arial"/>
        <family val="0"/>
        <charset val="1"/>
      </rPr>
      <t xml:space="preserve">SOOP </t>
    </r>
    <r>
      <rPr>
        <sz val="10"/>
        <rFont val="DejaVu Sans"/>
        <family val="2"/>
      </rPr>
      <t xml:space="preserve">기반 </t>
    </r>
    <r>
      <rPr>
        <sz val="10"/>
        <rFont val="Arial"/>
        <family val="0"/>
        <charset val="1"/>
      </rPr>
      <t xml:space="preserve">7</t>
    </r>
    <r>
      <rPr>
        <sz val="10"/>
        <rFont val="DejaVu Sans"/>
        <family val="2"/>
      </rPr>
      <t xml:space="preserve">개국 </t>
    </r>
    <r>
      <rPr>
        <sz val="10"/>
        <rFont val="Arial"/>
        <family val="0"/>
        <charset val="1"/>
      </rPr>
      <t xml:space="preserve">9</t>
    </r>
    <r>
      <rPr>
        <sz val="10"/>
        <rFont val="DejaVu Sans"/>
        <family val="2"/>
      </rPr>
      <t xml:space="preserve">인조</t>
    </r>
    <r>
      <rPr>
        <sz val="10"/>
        <rFont val="Arial"/>
        <family val="0"/>
        <charset val="1"/>
      </rPr>
      <t xml:space="preserve">. 2026.2.28 </t>
    </r>
    <r>
      <rPr>
        <sz val="10"/>
        <rFont val="DejaVu Sans"/>
        <family val="2"/>
      </rPr>
      <t xml:space="preserve">완전체 데뷔</t>
    </r>
    <r>
      <rPr>
        <sz val="10"/>
        <rFont val="Arial"/>
        <family val="0"/>
        <charset val="1"/>
      </rPr>
      <t xml:space="preserve">, 3.11 </t>
    </r>
    <r>
      <rPr>
        <sz val="10"/>
        <rFont val="DejaVu Sans"/>
        <family val="2"/>
      </rPr>
      <t xml:space="preserve">신곡 파도의 노래</t>
    </r>
    <r>
      <rPr>
        <sz val="10"/>
        <rFont val="Arial"/>
        <family val="0"/>
        <charset val="1"/>
      </rPr>
      <t xml:space="preserve">. KMJ 2026.3.9 </t>
    </r>
    <r>
      <rPr>
        <sz val="10"/>
        <rFont val="DejaVu Sans"/>
        <family val="2"/>
      </rPr>
      <t xml:space="preserve">보도로 운영사 확정</t>
    </r>
  </si>
  <si>
    <t xml:space="preserve">SPHAZE</t>
  </si>
  <si>
    <r>
      <rPr>
        <sz val="10"/>
        <rFont val="Noto Sans CJK SC"/>
        <family val="2"/>
        <charset val="1"/>
      </rPr>
      <t xml:space="preserve">Sphaze(</t>
    </r>
    <r>
      <rPr>
        <sz val="10"/>
        <rFont val="DejaVu Sans"/>
        <family val="2"/>
      </rPr>
      <t xml:space="preserve">스페이즈</t>
    </r>
    <r>
      <rPr>
        <sz val="10"/>
        <rFont val="Noto Sans CJK SC"/>
        <family val="2"/>
        <charset val="1"/>
      </rPr>
      <t xml:space="preserve">)</t>
    </r>
  </si>
  <si>
    <t xml:space="preserve">오르트 엔터테인먼트</t>
  </si>
  <si>
    <r>
      <rPr>
        <sz val="10"/>
        <rFont val="Noto Sans CJK SC"/>
        <family val="2"/>
        <charset val="1"/>
      </rPr>
      <t xml:space="preserve">5</t>
    </r>
    <r>
      <rPr>
        <sz val="10"/>
        <rFont val="DejaVu Sans"/>
        <family val="2"/>
      </rPr>
      <t xml:space="preserve">인조 버추얼 보이그룹</t>
    </r>
    <r>
      <rPr>
        <sz val="10"/>
        <rFont val="Noto Sans CJK SC"/>
        <family val="2"/>
        <charset val="1"/>
      </rPr>
      <t xml:space="preserve">. 2024.9.30 Starlight </t>
    </r>
    <r>
      <rPr>
        <sz val="10"/>
        <rFont val="DejaVu Sans"/>
        <family val="2"/>
      </rPr>
      <t xml:space="preserve">데뷔</t>
    </r>
    <r>
      <rPr>
        <sz val="10"/>
        <rFont val="Noto Sans CJK SC"/>
        <family val="2"/>
        <charset val="1"/>
      </rPr>
      <t xml:space="preserve">, 2025.10.2 </t>
    </r>
    <r>
      <rPr>
        <sz val="10"/>
        <rFont val="DejaVu Sans"/>
        <family val="2"/>
      </rPr>
      <t xml:space="preserve">공식 </t>
    </r>
    <r>
      <rPr>
        <sz val="10"/>
        <rFont val="Noto Sans CJK SC"/>
        <family val="2"/>
        <charset val="1"/>
      </rPr>
      <t xml:space="preserve">X</t>
    </r>
    <r>
      <rPr>
        <sz val="10"/>
        <rFont val="DejaVu Sans"/>
        <family val="2"/>
      </rPr>
      <t xml:space="preserve">로 활동 종료 발표</t>
    </r>
  </si>
  <si>
    <t xml:space="preserve">AEONIT</t>
  </si>
  <si>
    <r>
      <rPr>
        <sz val="10"/>
        <rFont val="Noto Sans CJK SC"/>
        <family val="2"/>
        <charset val="1"/>
      </rPr>
      <t xml:space="preserve">AEONIT(</t>
    </r>
    <r>
      <rPr>
        <sz val="10"/>
        <rFont val="DejaVu Sans"/>
        <family val="2"/>
      </rPr>
      <t xml:space="preserve">이오닛</t>
    </r>
    <r>
      <rPr>
        <sz val="10"/>
        <rFont val="Noto Sans CJK SC"/>
        <family val="2"/>
        <charset val="1"/>
      </rPr>
      <t xml:space="preserve">)</t>
    </r>
  </si>
  <si>
    <r>
      <rPr>
        <sz val="10"/>
        <rFont val="DejaVu Sans"/>
        <family val="2"/>
      </rPr>
      <t xml:space="preserve">온마인드</t>
    </r>
    <r>
      <rPr>
        <sz val="10"/>
        <rFont val="DejaVu Sans"/>
        <family val="2"/>
        <charset val="1"/>
      </rPr>
      <t xml:space="preserve">(ONMIND)</t>
    </r>
  </si>
  <si>
    <r>
      <rPr>
        <sz val="10"/>
        <rFont val="Noto Sans CJK SC"/>
        <family val="2"/>
        <charset val="1"/>
      </rPr>
      <t xml:space="preserve">5</t>
    </r>
    <r>
      <rPr>
        <sz val="10"/>
        <rFont val="DejaVu Sans"/>
        <family val="2"/>
      </rPr>
      <t xml:space="preserve">인조 버추얼 보이그룹</t>
    </r>
    <r>
      <rPr>
        <sz val="10"/>
        <rFont val="Noto Sans CJK SC"/>
        <family val="2"/>
        <charset val="1"/>
      </rPr>
      <t xml:space="preserve">(</t>
    </r>
    <r>
      <rPr>
        <sz val="10"/>
        <rFont val="DejaVu Sans"/>
        <family val="2"/>
      </rPr>
      <t xml:space="preserve">통용 표기 이오닛</t>
    </r>
    <r>
      <rPr>
        <sz val="10"/>
        <rFont val="Noto Sans CJK SC"/>
        <family val="2"/>
        <charset val="1"/>
      </rPr>
      <t xml:space="preserve">). 2024.8 LUMOS </t>
    </r>
    <r>
      <rPr>
        <sz val="10"/>
        <rFont val="DejaVu Sans"/>
        <family val="2"/>
      </rPr>
      <t xml:space="preserve">데뷔</t>
    </r>
    <r>
      <rPr>
        <sz val="10"/>
        <rFont val="Noto Sans CJK SC"/>
        <family val="2"/>
        <charset val="1"/>
      </rPr>
      <t xml:space="preserve">, 2025.7.31 </t>
    </r>
    <r>
      <rPr>
        <sz val="10"/>
        <rFont val="DejaVu Sans"/>
        <family val="2"/>
      </rPr>
      <t xml:space="preserve">전속계약 종료</t>
    </r>
    <r>
      <rPr>
        <sz val="10"/>
        <rFont val="Noto Sans CJK SC"/>
        <family val="2"/>
        <charset val="1"/>
      </rPr>
      <t xml:space="preserve">·8</t>
    </r>
    <r>
      <rPr>
        <sz val="10"/>
        <rFont val="DejaVu Sans"/>
        <family val="2"/>
      </rPr>
      <t xml:space="preserve">월 마지막 앨범</t>
    </r>
  </si>
  <si>
    <t xml:space="preserve">INISH ACADEMY</t>
  </si>
  <si>
    <t xml:space="preserve">이니시 아카데미</t>
  </si>
  <si>
    <r>
      <rPr>
        <sz val="10"/>
        <rFont val="DejaVu Sans"/>
        <family val="2"/>
      </rPr>
      <t xml:space="preserve">레벨스</t>
    </r>
    <r>
      <rPr>
        <sz val="10"/>
        <rFont val="DejaVu Sans"/>
        <family val="2"/>
        <charset val="1"/>
      </rPr>
      <t xml:space="preserve">(</t>
    </r>
    <r>
      <rPr>
        <sz val="10"/>
        <rFont val="DejaVu Sans"/>
        <family val="2"/>
      </rPr>
      <t xml:space="preserve">두나무 자회사</t>
    </r>
    <r>
      <rPr>
        <sz val="10"/>
        <rFont val="DejaVu Sans"/>
        <family val="2"/>
        <charset val="1"/>
      </rPr>
      <t xml:space="preserve">)</t>
    </r>
  </si>
  <si>
    <r>
      <rPr>
        <sz val="10"/>
        <rFont val="Noto Sans CJK SC"/>
        <family val="2"/>
        <charset val="1"/>
      </rPr>
      <t xml:space="preserve">2025.8 </t>
    </r>
    <r>
      <rPr>
        <sz val="10"/>
        <rFont val="DejaVu Sans"/>
        <family val="2"/>
      </rPr>
      <t xml:space="preserve">레벨스 자체 버추얼 보이그룹으로 공개</t>
    </r>
    <r>
      <rPr>
        <sz val="10"/>
        <rFont val="Noto Sans CJK SC"/>
        <family val="2"/>
        <charset val="1"/>
      </rPr>
      <t xml:space="preserve">(</t>
    </r>
    <r>
      <rPr>
        <sz val="10"/>
        <rFont val="DejaVu Sans"/>
        <family val="2"/>
      </rPr>
      <t xml:space="preserve">아카이브엔터 </t>
    </r>
    <r>
      <rPr>
        <sz val="10"/>
        <rFont val="Noto Sans CJK SC"/>
        <family val="2"/>
        <charset val="1"/>
      </rPr>
      <t xml:space="preserve">80% </t>
    </r>
    <r>
      <rPr>
        <sz val="10"/>
        <rFont val="DejaVu Sans"/>
        <family val="2"/>
      </rPr>
      <t xml:space="preserve">인수 연계</t>
    </r>
    <r>
      <rPr>
        <sz val="10"/>
        <rFont val="Noto Sans CJK SC"/>
        <family val="2"/>
        <charset val="1"/>
      </rPr>
      <t xml:space="preserve">). </t>
    </r>
    <r>
      <rPr>
        <sz val="10"/>
        <rFont val="DejaVu Sans"/>
        <family val="2"/>
      </rPr>
      <t xml:space="preserve">최근 업로드 빈도 미확인</t>
    </r>
  </si>
  <si>
    <t xml:space="preserve">MW:MEU</t>
  </si>
  <si>
    <t xml:space="preserve">뮤</t>
  </si>
  <si>
    <r>
      <rPr>
        <sz val="10"/>
        <rFont val="Arial"/>
        <family val="0"/>
        <charset val="1"/>
      </rPr>
      <t xml:space="preserve">5</t>
    </r>
    <r>
      <rPr>
        <sz val="10"/>
        <rFont val="DejaVu Sans"/>
        <family val="2"/>
      </rPr>
      <t xml:space="preserve">인조 걸그룹</t>
    </r>
    <r>
      <rPr>
        <sz val="10"/>
        <rFont val="Arial"/>
        <family val="0"/>
        <charset val="1"/>
      </rPr>
      <t xml:space="preserve">(</t>
    </r>
    <r>
      <rPr>
        <sz val="10"/>
        <rFont val="DejaVu Sans"/>
        <family val="2"/>
      </rPr>
      <t xml:space="preserve">고양이 모티브</t>
    </r>
    <r>
      <rPr>
        <sz val="10"/>
        <rFont val="Arial"/>
        <family val="0"/>
        <charset val="1"/>
      </rPr>
      <t xml:space="preserve">). </t>
    </r>
    <r>
      <rPr>
        <sz val="10"/>
        <rFont val="DejaVu Sans"/>
        <family val="2"/>
      </rPr>
      <t xml:space="preserve">지한</t>
    </r>
    <r>
      <rPr>
        <sz val="10"/>
        <rFont val="Arial"/>
        <family val="0"/>
        <charset val="1"/>
      </rPr>
      <t xml:space="preserve">·</t>
    </r>
    <r>
      <rPr>
        <sz val="10"/>
        <rFont val="DejaVu Sans"/>
        <family val="2"/>
      </rPr>
      <t xml:space="preserve">이비</t>
    </r>
    <r>
      <rPr>
        <sz val="10"/>
        <rFont val="Arial"/>
        <family val="0"/>
        <charset val="1"/>
      </rPr>
      <t xml:space="preserve">·</t>
    </r>
    <r>
      <rPr>
        <sz val="10"/>
        <rFont val="DejaVu Sans"/>
        <family val="2"/>
      </rPr>
      <t xml:space="preserve">수아</t>
    </r>
    <r>
      <rPr>
        <sz val="10"/>
        <rFont val="Arial"/>
        <family val="0"/>
        <charset val="1"/>
      </rPr>
      <t xml:space="preserve">·</t>
    </r>
    <r>
      <rPr>
        <sz val="10"/>
        <rFont val="DejaVu Sans"/>
        <family val="2"/>
      </rPr>
      <t xml:space="preserve">리츠</t>
    </r>
    <r>
      <rPr>
        <sz val="10"/>
        <rFont val="Arial"/>
        <family val="0"/>
        <charset val="1"/>
      </rPr>
      <t xml:space="preserve">·</t>
    </r>
    <r>
      <rPr>
        <sz val="10"/>
        <rFont val="DejaVu Sans"/>
        <family val="2"/>
      </rPr>
      <t xml:space="preserve">초은</t>
    </r>
    <r>
      <rPr>
        <sz val="10"/>
        <rFont val="Arial"/>
        <family val="0"/>
        <charset val="1"/>
      </rPr>
      <t xml:space="preserve">. 2025.11 </t>
    </r>
    <r>
      <rPr>
        <sz val="10"/>
        <rFont val="DejaVu Sans"/>
        <family val="2"/>
      </rPr>
      <t xml:space="preserve">프리데뷔→</t>
    </r>
    <r>
      <rPr>
        <sz val="10"/>
        <rFont val="Arial"/>
        <family val="0"/>
        <charset val="1"/>
      </rPr>
      <t xml:space="preserve">2026.4 </t>
    </r>
    <r>
      <rPr>
        <sz val="10"/>
        <rFont val="DejaVu Sans"/>
        <family val="2"/>
      </rPr>
      <t xml:space="preserve">정식데뷔</t>
    </r>
  </si>
  <si>
    <t xml:space="preserve">MY:RAKL</t>
  </si>
  <si>
    <r>
      <rPr>
        <sz val="10"/>
        <rFont val="DejaVu Sans"/>
        <family val="2"/>
      </rPr>
      <t xml:space="preserve">미라클</t>
    </r>
    <r>
      <rPr>
        <sz val="10"/>
        <rFont val="DejaVu Sans"/>
        <family val="2"/>
        <charset val="1"/>
      </rPr>
      <t xml:space="preserve">(</t>
    </r>
    <r>
      <rPr>
        <sz val="10"/>
        <rFont val="DejaVu Sans"/>
        <family val="2"/>
      </rPr>
      <t xml:space="preserve">마이라클</t>
    </r>
    <r>
      <rPr>
        <sz val="10"/>
        <rFont val="DejaVu Sans"/>
        <family val="2"/>
        <charset val="1"/>
      </rPr>
      <t xml:space="preserve">)</t>
    </r>
  </si>
  <si>
    <t xml:space="preserve">어코드엔터테인먼트</t>
  </si>
  <si>
    <r>
      <rPr>
        <sz val="10"/>
        <rFont val="Arial"/>
        <family val="0"/>
        <charset val="1"/>
      </rPr>
      <t xml:space="preserve">5</t>
    </r>
    <r>
      <rPr>
        <sz val="10"/>
        <rFont val="DejaVu Sans"/>
        <family val="2"/>
      </rPr>
      <t xml:space="preserve">인조 보이그룹</t>
    </r>
    <r>
      <rPr>
        <sz val="10"/>
        <rFont val="Arial"/>
        <family val="0"/>
        <charset val="1"/>
      </rPr>
      <t xml:space="preserve">(</t>
    </r>
    <r>
      <rPr>
        <sz val="10"/>
        <rFont val="DejaVu Sans"/>
        <family val="2"/>
      </rPr>
      <t xml:space="preserve">새온</t>
    </r>
    <r>
      <rPr>
        <sz val="10"/>
        <rFont val="Arial"/>
        <family val="0"/>
        <charset val="1"/>
      </rPr>
      <t xml:space="preserve">·</t>
    </r>
    <r>
      <rPr>
        <sz val="10"/>
        <rFont val="DejaVu Sans"/>
        <family val="2"/>
      </rPr>
      <t xml:space="preserve">유성</t>
    </r>
    <r>
      <rPr>
        <sz val="10"/>
        <rFont val="Arial"/>
        <family val="0"/>
        <charset val="1"/>
      </rPr>
      <t xml:space="preserve">·</t>
    </r>
    <r>
      <rPr>
        <sz val="10"/>
        <rFont val="DejaVu Sans"/>
        <family val="2"/>
      </rPr>
      <t xml:space="preserve">하이든</t>
    </r>
    <r>
      <rPr>
        <sz val="10"/>
        <rFont val="Arial"/>
        <family val="0"/>
        <charset val="1"/>
      </rPr>
      <t xml:space="preserve">·</t>
    </r>
    <r>
      <rPr>
        <sz val="10"/>
        <rFont val="DejaVu Sans"/>
        <family val="2"/>
      </rPr>
      <t xml:space="preserve">제하</t>
    </r>
    <r>
      <rPr>
        <sz val="10"/>
        <rFont val="Arial"/>
        <family val="0"/>
        <charset val="1"/>
      </rPr>
      <t xml:space="preserve">·</t>
    </r>
    <r>
      <rPr>
        <sz val="10"/>
        <rFont val="DejaVu Sans"/>
        <family val="2"/>
      </rPr>
      <t xml:space="preserve">전설</t>
    </r>
    <r>
      <rPr>
        <sz val="10"/>
        <rFont val="Arial"/>
        <family val="0"/>
        <charset val="1"/>
      </rPr>
      <t xml:space="preserve">). </t>
    </r>
    <r>
      <rPr>
        <sz val="10"/>
        <rFont val="DejaVu Sans"/>
        <family val="2"/>
      </rPr>
      <t xml:space="preserve">전생 톱아이돌 환생 컨셉</t>
    </r>
    <r>
      <rPr>
        <sz val="10"/>
        <rFont val="Arial"/>
        <family val="0"/>
        <charset val="1"/>
      </rPr>
      <t xml:space="preserve">. 2026.1 </t>
    </r>
    <r>
      <rPr>
        <sz val="10"/>
        <rFont val="DejaVu Sans"/>
        <family val="2"/>
      </rPr>
      <t xml:space="preserve">데뷔</t>
    </r>
    <r>
      <rPr>
        <sz val="10"/>
        <rFont val="Arial"/>
        <family val="0"/>
        <charset val="1"/>
      </rPr>
      <t xml:space="preserve">, </t>
    </r>
    <r>
      <rPr>
        <sz val="10"/>
        <rFont val="DejaVu Sans"/>
        <family val="2"/>
      </rPr>
      <t xml:space="preserve">月 연속 서사 발매</t>
    </r>
  </si>
  <si>
    <t xml:space="preserve">541 E&amp;C</t>
  </si>
  <si>
    <r>
      <rPr>
        <sz val="10"/>
        <rFont val="Arial"/>
        <family val="0"/>
        <charset val="1"/>
      </rPr>
      <t xml:space="preserve">541 </t>
    </r>
    <r>
      <rPr>
        <sz val="10"/>
        <rFont val="DejaVu Sans"/>
        <family val="2"/>
      </rPr>
      <t xml:space="preserve">이앤씨</t>
    </r>
  </si>
  <si>
    <t xml:space="preserve">~2020</t>
  </si>
  <si>
    <r>
      <rPr>
        <sz val="10"/>
        <rFont val="Arial"/>
        <family val="0"/>
        <charset val="1"/>
      </rPr>
      <t xml:space="preserve">2020 </t>
    </r>
    <r>
      <rPr>
        <sz val="10"/>
        <rFont val="DejaVu Sans"/>
        <family val="2"/>
      </rPr>
      <t xml:space="preserve">활동 종료</t>
    </r>
  </si>
  <si>
    <r>
      <rPr>
        <sz val="10"/>
        <rFont val="DejaVu Sans"/>
        <family val="2"/>
      </rPr>
      <t xml:space="preserve">니지산지 </t>
    </r>
    <r>
      <rPr>
        <sz val="10"/>
        <rFont val="DejaVu Sans"/>
        <family val="2"/>
        <charset val="1"/>
      </rPr>
      <t xml:space="preserve">KR</t>
    </r>
  </si>
  <si>
    <t xml:space="preserve">Nijisanji KR</t>
  </si>
  <si>
    <r>
      <rPr>
        <sz val="10"/>
        <rFont val="Arial"/>
        <family val="0"/>
        <charset val="1"/>
      </rPr>
      <t xml:space="preserve">ANYCOLOR(</t>
    </r>
    <r>
      <rPr>
        <sz val="10"/>
        <rFont val="DejaVu Sans"/>
        <family val="2"/>
      </rPr>
      <t xml:space="preserve">일본</t>
    </r>
    <r>
      <rPr>
        <sz val="10"/>
        <rFont val="Arial"/>
        <family val="0"/>
        <charset val="1"/>
      </rPr>
      <t xml:space="preserve">)</t>
    </r>
  </si>
  <si>
    <t xml:space="preserve">2020</t>
  </si>
  <si>
    <r>
      <rPr>
        <sz val="10"/>
        <rFont val="Arial"/>
        <family val="0"/>
        <charset val="1"/>
      </rPr>
      <t xml:space="preserve">2022 </t>
    </r>
    <r>
      <rPr>
        <sz val="10"/>
        <rFont val="DejaVu Sans"/>
        <family val="2"/>
      </rPr>
      <t xml:space="preserve">종료</t>
    </r>
    <r>
      <rPr>
        <sz val="10"/>
        <rFont val="Arial"/>
        <family val="0"/>
        <charset val="1"/>
      </rPr>
      <t xml:space="preserve">. 1</t>
    </r>
    <r>
      <rPr>
        <sz val="10"/>
        <rFont val="DejaVu Sans"/>
        <family val="2"/>
      </rPr>
      <t xml:space="preserve">기 민수하 등</t>
    </r>
  </si>
  <si>
    <t xml:space="preserve">플럼버스</t>
  </si>
  <si>
    <t xml:space="preserve">Plumbus</t>
  </si>
  <si>
    <t xml:space="preserve">~2022</t>
  </si>
  <si>
    <r>
      <rPr>
        <sz val="10"/>
        <rFont val="Arial"/>
        <family val="0"/>
        <charset val="1"/>
      </rPr>
      <t xml:space="preserve">2022 </t>
    </r>
    <r>
      <rPr>
        <sz val="10"/>
        <rFont val="DejaVu Sans"/>
        <family val="2"/>
      </rPr>
      <t xml:space="preserve">종료</t>
    </r>
  </si>
  <si>
    <t xml:space="preserve">보이스위츠</t>
  </si>
  <si>
    <t xml:space="preserve">Voicewitch</t>
  </si>
  <si>
    <t xml:space="preserve">로나유니버스</t>
  </si>
  <si>
    <r>
      <rPr>
        <sz val="10"/>
        <rFont val="DejaVu Sans"/>
        <family val="2"/>
      </rPr>
      <t xml:space="preserve">로나유니버스 보이그룹</t>
    </r>
    <r>
      <rPr>
        <sz val="10"/>
        <rFont val="DejaVu Sans"/>
        <family val="2"/>
        <charset val="1"/>
      </rPr>
      <t xml:space="preserve">. 2022 </t>
    </r>
    <r>
      <rPr>
        <sz val="10"/>
        <rFont val="DejaVu Sans"/>
        <family val="2"/>
      </rPr>
      <t xml:space="preserve">종료</t>
    </r>
  </si>
  <si>
    <t xml:space="preserve">아티 프로덕션</t>
  </si>
  <si>
    <t xml:space="preserve">Arty Production</t>
  </si>
  <si>
    <t xml:space="preserve">크레센도</t>
  </si>
  <si>
    <t xml:space="preserve">Crescendo</t>
  </si>
  <si>
    <t xml:space="preserve">~2023</t>
  </si>
  <si>
    <r>
      <rPr>
        <sz val="10"/>
        <rFont val="Arial"/>
        <family val="0"/>
        <charset val="1"/>
      </rPr>
      <t xml:space="preserve">2023 </t>
    </r>
    <r>
      <rPr>
        <sz val="10"/>
        <rFont val="DejaVu Sans"/>
        <family val="2"/>
      </rPr>
      <t xml:space="preserve">종료</t>
    </r>
  </si>
  <si>
    <t xml:space="preserve">유토피아</t>
  </si>
  <si>
    <t xml:space="preserve">Utopia</t>
  </si>
  <si>
    <t xml:space="preserve">유소나</t>
  </si>
  <si>
    <r>
      <rPr>
        <sz val="10"/>
        <rFont val="DejaVu Sans"/>
        <family val="2"/>
      </rPr>
      <t xml:space="preserve">유소나 산하</t>
    </r>
    <r>
      <rPr>
        <sz val="10"/>
        <rFont val="DejaVu Sans"/>
        <family val="2"/>
        <charset val="1"/>
      </rPr>
      <t xml:space="preserve">. 2023 </t>
    </r>
    <r>
      <rPr>
        <sz val="10"/>
        <rFont val="DejaVu Sans"/>
        <family val="2"/>
      </rPr>
      <t xml:space="preserve">종료</t>
    </r>
  </si>
  <si>
    <r>
      <rPr>
        <sz val="10"/>
        <rFont val="DejaVu Sans"/>
        <family val="2"/>
      </rPr>
      <t xml:space="preserve">프로젝트 커넥트 </t>
    </r>
    <r>
      <rPr>
        <sz val="10"/>
        <rFont val="DejaVu Sans"/>
        <family val="2"/>
        <charset val="1"/>
      </rPr>
      <t xml:space="preserve">S1</t>
    </r>
  </si>
  <si>
    <t xml:space="preserve">Project Connect S1</t>
  </si>
  <si>
    <t xml:space="preserve">드림스케이피</t>
  </si>
  <si>
    <t xml:space="preserve">라피즈</t>
  </si>
  <si>
    <t xml:space="preserve">Lapiz</t>
  </si>
  <si>
    <t xml:space="preserve">V Lab.</t>
  </si>
  <si>
    <t xml:space="preserve">브이랩</t>
  </si>
  <si>
    <t xml:space="preserve">솔레어</t>
  </si>
  <si>
    <t xml:space="preserve">Soleil</t>
  </si>
  <si>
    <r>
      <rPr>
        <sz val="10"/>
        <rFont val="DejaVu Sans"/>
        <family val="2"/>
      </rPr>
      <t xml:space="preserve">솔레어</t>
    </r>
    <r>
      <rPr>
        <sz val="10"/>
        <rFont val="DejaVu Sans"/>
        <family val="2"/>
        <charset val="1"/>
      </rPr>
      <t xml:space="preserve">(</t>
    </r>
    <r>
      <rPr>
        <sz val="10"/>
        <rFont val="DejaVu Sans"/>
        <family val="2"/>
      </rPr>
      <t xml:space="preserve">前 로나유니버스</t>
    </r>
    <r>
      <rPr>
        <sz val="10"/>
        <rFont val="DejaVu Sans"/>
        <family val="2"/>
        <charset val="1"/>
      </rPr>
      <t xml:space="preserve">)</t>
    </r>
  </si>
  <si>
    <r>
      <rPr>
        <sz val="10"/>
        <rFont val="DejaVu Sans"/>
        <family val="2"/>
      </rPr>
      <t xml:space="preserve">경영 논란</t>
    </r>
    <r>
      <rPr>
        <sz val="10"/>
        <rFont val="DejaVu Sans"/>
        <family val="2"/>
        <charset val="1"/>
      </rPr>
      <t xml:space="preserve">. 2023.9 </t>
    </r>
    <r>
      <rPr>
        <sz val="10"/>
        <rFont val="DejaVu Sans"/>
        <family val="2"/>
      </rPr>
      <t xml:space="preserve">사실상 해체</t>
    </r>
  </si>
  <si>
    <t xml:space="preserve">Oshi Production</t>
  </si>
  <si>
    <t xml:space="preserve">오시 프로덕션</t>
  </si>
  <si>
    <r>
      <rPr>
        <sz val="10"/>
        <rFont val="DejaVu Sans"/>
        <family val="2"/>
      </rPr>
      <t xml:space="preserve">가수 테마</t>
    </r>
    <r>
      <rPr>
        <sz val="10"/>
        <rFont val="DejaVu Sans"/>
        <family val="2"/>
        <charset val="1"/>
      </rPr>
      <t xml:space="preserve">. 2023.11 </t>
    </r>
    <r>
      <rPr>
        <sz val="10"/>
        <rFont val="DejaVu Sans"/>
        <family val="2"/>
      </rPr>
      <t xml:space="preserve">중단</t>
    </r>
    <r>
      <rPr>
        <sz val="10"/>
        <rFont val="DejaVu Sans"/>
        <family val="2"/>
        <charset val="1"/>
      </rPr>
      <t xml:space="preserve">. </t>
    </r>
    <r>
      <rPr>
        <sz val="10"/>
        <rFont val="DejaVu Sans"/>
        <family val="2"/>
      </rPr>
      <t xml:space="preserve">유나기</t>
    </r>
    <r>
      <rPr>
        <sz val="10"/>
        <rFont val="DejaVu Sans"/>
        <family val="2"/>
        <charset val="1"/>
      </rPr>
      <t xml:space="preserve">·</t>
    </r>
    <r>
      <rPr>
        <sz val="10"/>
        <rFont val="DejaVu Sans"/>
        <family val="2"/>
      </rPr>
      <t xml:space="preserve">스노</t>
    </r>
    <r>
      <rPr>
        <sz val="10"/>
        <rFont val="DejaVu Sans"/>
        <family val="2"/>
        <charset val="1"/>
      </rPr>
      <t xml:space="preserve">·</t>
    </r>
    <r>
      <rPr>
        <sz val="10"/>
        <rFont val="DejaVu Sans"/>
        <family val="2"/>
      </rPr>
      <t xml:space="preserve">키마</t>
    </r>
    <r>
      <rPr>
        <sz val="10"/>
        <rFont val="DejaVu Sans"/>
        <family val="2"/>
        <charset val="1"/>
      </rPr>
      <t xml:space="preserve">·</t>
    </r>
    <r>
      <rPr>
        <sz val="10"/>
        <rFont val="DejaVu Sans"/>
        <family val="2"/>
      </rPr>
      <t xml:space="preserve">리코타</t>
    </r>
  </si>
  <si>
    <t xml:space="preserve">티바로살래나</t>
  </si>
  <si>
    <t xml:space="preserve">Tivarosallaena</t>
  </si>
  <si>
    <t xml:space="preserve">~2024</t>
  </si>
  <si>
    <r>
      <rPr>
        <sz val="10"/>
        <rFont val="Arial"/>
        <family val="0"/>
        <charset val="1"/>
      </rPr>
      <t xml:space="preserve">2024 </t>
    </r>
    <r>
      <rPr>
        <sz val="10"/>
        <rFont val="DejaVu Sans"/>
        <family val="2"/>
      </rPr>
      <t xml:space="preserve">종료</t>
    </r>
  </si>
  <si>
    <t xml:space="preserve">브이컬러</t>
  </si>
  <si>
    <t xml:space="preserve">V-Color</t>
  </si>
  <si>
    <t xml:space="preserve">버블러스</t>
  </si>
  <si>
    <t xml:space="preserve">Bubblus</t>
  </si>
  <si>
    <t xml:space="preserve">원비트 스튜디오</t>
  </si>
  <si>
    <t xml:space="preserve">OneBeat Studio</t>
  </si>
  <si>
    <r>
      <rPr>
        <sz val="10"/>
        <rFont val="DejaVu Sans"/>
        <family val="2"/>
      </rPr>
      <t xml:space="preserve">프로젝트</t>
    </r>
    <r>
      <rPr>
        <sz val="10"/>
        <rFont val="DejaVu Sans"/>
        <family val="2"/>
        <charset val="1"/>
      </rPr>
      <t xml:space="preserve">:</t>
    </r>
    <r>
      <rPr>
        <sz val="10"/>
        <rFont val="DejaVu Sans"/>
        <family val="2"/>
      </rPr>
      <t xml:space="preserve">세컨드라이프</t>
    </r>
  </si>
  <si>
    <t xml:space="preserve">Project: Second Life</t>
  </si>
  <si>
    <r>
      <rPr>
        <sz val="10"/>
        <rFont val="Arial"/>
        <family val="0"/>
        <charset val="1"/>
      </rPr>
      <t xml:space="preserve">(</t>
    </r>
    <r>
      <rPr>
        <sz val="10"/>
        <rFont val="DejaVu Sans"/>
        <family val="2"/>
      </rPr>
      <t xml:space="preserve">프로젝트</t>
    </r>
    <r>
      <rPr>
        <sz val="10"/>
        <rFont val="Arial"/>
        <family val="0"/>
        <charset val="1"/>
      </rPr>
      <t xml:space="preserve">)</t>
    </r>
  </si>
  <si>
    <t xml:space="preserve">라이브잉</t>
  </si>
  <si>
    <t xml:space="preserve">Living</t>
  </si>
  <si>
    <t xml:space="preserve">브이넥서스</t>
  </si>
  <si>
    <t xml:space="preserve">V-Nexus</t>
  </si>
  <si>
    <r>
      <rPr>
        <sz val="10"/>
        <rFont val="Arial"/>
        <family val="0"/>
        <charset val="1"/>
      </rPr>
      <t xml:space="preserve">2024.6 </t>
    </r>
    <r>
      <rPr>
        <sz val="10"/>
        <rFont val="DejaVu Sans"/>
        <family val="2"/>
      </rPr>
      <t xml:space="preserve">종료</t>
    </r>
    <r>
      <rPr>
        <sz val="10"/>
        <rFont val="Arial"/>
        <family val="0"/>
        <charset val="1"/>
      </rPr>
      <t xml:space="preserve">. VLYZ </t>
    </r>
    <r>
      <rPr>
        <sz val="10"/>
        <rFont val="DejaVu Sans"/>
        <family val="2"/>
      </rPr>
      <t xml:space="preserve">모회사</t>
    </r>
  </si>
  <si>
    <t xml:space="preserve">핑크버스</t>
  </si>
  <si>
    <t xml:space="preserve">Pinkbus</t>
  </si>
  <si>
    <t xml:space="preserve">HeartSoniC</t>
  </si>
  <si>
    <t xml:space="preserve">하트소닉</t>
  </si>
  <si>
    <t xml:space="preserve">사나라이브</t>
  </si>
  <si>
    <t xml:space="preserve">SanaLive</t>
  </si>
  <si>
    <t xml:space="preserve">포코톤</t>
  </si>
  <si>
    <t xml:space="preserve">Pokoton</t>
  </si>
  <si>
    <t xml:space="preserve">마니또</t>
  </si>
  <si>
    <t xml:space="preserve">Manito</t>
  </si>
  <si>
    <t xml:space="preserve">네오캐스트</t>
  </si>
  <si>
    <t xml:space="preserve">NeoCast</t>
  </si>
  <si>
    <t xml:space="preserve">AFOTS</t>
  </si>
  <si>
    <t xml:space="preserve">에이폿츠</t>
  </si>
  <si>
    <t xml:space="preserve">~2025</t>
  </si>
  <si>
    <r>
      <rPr>
        <sz val="10"/>
        <rFont val="DejaVu Sans"/>
        <family val="2"/>
      </rPr>
      <t xml:space="preserve">스콘 산하</t>
    </r>
    <r>
      <rPr>
        <sz val="10"/>
        <rFont val="DejaVu Sans"/>
        <family val="2"/>
        <charset val="1"/>
      </rPr>
      <t xml:space="preserve">. 2025 </t>
    </r>
    <r>
      <rPr>
        <sz val="10"/>
        <rFont val="DejaVu Sans"/>
        <family val="2"/>
      </rPr>
      <t xml:space="preserve">종료</t>
    </r>
  </si>
  <si>
    <t xml:space="preserve">프리 유니버스</t>
  </si>
  <si>
    <t xml:space="preserve">Free Universe</t>
  </si>
  <si>
    <r>
      <rPr>
        <sz val="10"/>
        <rFont val="Arial"/>
        <family val="0"/>
        <charset val="1"/>
      </rPr>
      <t xml:space="preserve">2025 </t>
    </r>
    <r>
      <rPr>
        <sz val="10"/>
        <rFont val="DejaVu Sans"/>
        <family val="2"/>
      </rPr>
      <t xml:space="preserve">종료</t>
    </r>
  </si>
  <si>
    <t xml:space="preserve">프리아</t>
  </si>
  <si>
    <t xml:space="preserve">Pria</t>
  </si>
  <si>
    <t xml:space="preserve">츠라이컴퍼니</t>
  </si>
  <si>
    <t xml:space="preserve">Tsurai Company</t>
  </si>
  <si>
    <t xml:space="preserve">링크라이브</t>
  </si>
  <si>
    <t xml:space="preserve">LinkLive</t>
  </si>
  <si>
    <t xml:space="preserve">루미나</t>
  </si>
  <si>
    <t xml:space="preserve">Lumina</t>
  </si>
  <si>
    <t xml:space="preserve">링크포유</t>
  </si>
  <si>
    <t xml:space="preserve">Link4U</t>
  </si>
  <si>
    <t xml:space="preserve">루시 아카데미</t>
  </si>
  <si>
    <t xml:space="preserve">Lucy Academy</t>
  </si>
  <si>
    <t xml:space="preserve">Priz</t>
  </si>
  <si>
    <t xml:space="preserve">프리즈</t>
  </si>
  <si>
    <t xml:space="preserve">메타버스엔터테인먼트</t>
  </si>
  <si>
    <r>
      <rPr>
        <sz val="10"/>
        <rFont val="DejaVu Sans"/>
        <family val="2"/>
      </rPr>
      <t xml:space="preserve">메타버스엔터 프로젝트</t>
    </r>
    <r>
      <rPr>
        <sz val="10"/>
        <rFont val="DejaVu Sans"/>
        <family val="2"/>
        <charset val="1"/>
      </rPr>
      <t xml:space="preserve">. 2025 </t>
    </r>
    <r>
      <rPr>
        <sz val="10"/>
        <rFont val="DejaVu Sans"/>
        <family val="2"/>
      </rPr>
      <t xml:space="preserve">종료</t>
    </r>
  </si>
  <si>
    <t xml:space="preserve">프로젝트 호라이즌</t>
  </si>
  <si>
    <t xml:space="preserve">Project Horizon</t>
  </si>
  <si>
    <t xml:space="preserve">멜로데이즈</t>
  </si>
  <si>
    <t xml:space="preserve">MeloDays</t>
  </si>
  <si>
    <t xml:space="preserve">플룸디</t>
  </si>
  <si>
    <r>
      <rPr>
        <sz val="10"/>
        <rFont val="DejaVu Sans"/>
        <family val="2"/>
      </rPr>
      <t xml:space="preserve">플룸디 산하</t>
    </r>
    <r>
      <rPr>
        <sz val="10"/>
        <rFont val="DejaVu Sans"/>
        <family val="2"/>
        <charset val="1"/>
      </rPr>
      <t xml:space="preserve">. 2025 </t>
    </r>
    <r>
      <rPr>
        <sz val="10"/>
        <rFont val="DejaVu Sans"/>
        <family val="2"/>
      </rPr>
      <t xml:space="preserve">종료</t>
    </r>
  </si>
  <si>
    <r>
      <rPr>
        <b val="true"/>
        <sz val="14"/>
        <color rgb="FFFFFFFF"/>
        <rFont val="DejaVu Sans"/>
        <family val="2"/>
      </rPr>
      <t xml:space="preserve">주요 소속사</t>
    </r>
    <r>
      <rPr>
        <b val="true"/>
        <sz val="14"/>
        <color rgb="FFFFFFFF"/>
        <rFont val="DejaVu Sans"/>
        <family val="2"/>
        <charset val="1"/>
      </rPr>
      <t xml:space="preserve">·</t>
    </r>
    <r>
      <rPr>
        <b val="true"/>
        <sz val="14"/>
        <color rgb="FFFFFFFF"/>
        <rFont val="DejaVu Sans"/>
        <family val="2"/>
      </rPr>
      <t xml:space="preserve">운영사 정리 </t>
    </r>
    <r>
      <rPr>
        <b val="true"/>
        <sz val="14"/>
        <color rgb="FFFFFFFF"/>
        <rFont val="DejaVu Sans"/>
        <family val="2"/>
        <charset val="1"/>
      </rPr>
      <t xml:space="preserve">(v8: 2026-06-06 </t>
    </r>
    <r>
      <rPr>
        <b val="true"/>
        <sz val="14"/>
        <color rgb="FFFFFFFF"/>
        <rFont val="DejaVu Sans"/>
        <family val="2"/>
      </rPr>
      <t xml:space="preserve">재조사로 </t>
    </r>
    <r>
      <rPr>
        <b val="true"/>
        <sz val="14"/>
        <color rgb="FFFFFFFF"/>
        <rFont val="DejaVu Sans"/>
        <family val="2"/>
        <charset val="1"/>
      </rPr>
      <t xml:space="preserve">10</t>
    </r>
    <r>
      <rPr>
        <b val="true"/>
        <sz val="14"/>
        <color rgb="FFFFFFFF"/>
        <rFont val="DejaVu Sans"/>
        <family val="2"/>
      </rPr>
      <t xml:space="preserve">개사 추가</t>
    </r>
    <r>
      <rPr>
        <b val="true"/>
        <sz val="14"/>
        <color rgb="FFFFFFFF"/>
        <rFont val="DejaVu Sans"/>
        <family val="2"/>
        <charset val="1"/>
      </rPr>
      <t xml:space="preserve">)</t>
    </r>
  </si>
  <si>
    <t xml:space="preserve">유형</t>
  </si>
  <si>
    <t xml:space="preserve">대표 그룹</t>
  </si>
  <si>
    <t xml:space="preserve">기술기반 엔터</t>
  </si>
  <si>
    <r>
      <rPr>
        <sz val="10"/>
        <rFont val="Arial"/>
        <family val="0"/>
        <charset val="1"/>
      </rPr>
      <t xml:space="preserve">MBC </t>
    </r>
    <r>
      <rPr>
        <sz val="10"/>
        <rFont val="DejaVu Sans"/>
        <family val="2"/>
      </rPr>
      <t xml:space="preserve">사내벤처 출신 </t>
    </r>
    <r>
      <rPr>
        <sz val="10"/>
        <rFont val="Arial"/>
        <family val="0"/>
        <charset val="1"/>
      </rPr>
      <t xml:space="preserve">VFX/</t>
    </r>
    <r>
      <rPr>
        <sz val="10"/>
        <rFont val="DejaVu Sans"/>
        <family val="2"/>
      </rPr>
      <t xml:space="preserve">버추얼 기술회사</t>
    </r>
  </si>
  <si>
    <t xml:space="preserve">게임사 자회사</t>
  </si>
  <si>
    <t xml:space="preserve">MAVE:, Priz</t>
  </si>
  <si>
    <r>
      <rPr>
        <sz val="10"/>
        <rFont val="DejaVu Sans"/>
        <family val="2"/>
      </rPr>
      <t xml:space="preserve">넷마블</t>
    </r>
    <r>
      <rPr>
        <sz val="10"/>
        <rFont val="DejaVu Sans"/>
        <family val="2"/>
        <charset val="1"/>
      </rPr>
      <t xml:space="preserve">F&amp;C </t>
    </r>
    <r>
      <rPr>
        <sz val="10"/>
        <rFont val="DejaVu Sans"/>
        <family val="2"/>
      </rPr>
      <t xml:space="preserve">자회사</t>
    </r>
    <r>
      <rPr>
        <sz val="10"/>
        <rFont val="DejaVu Sans"/>
        <family val="2"/>
        <charset val="1"/>
      </rPr>
      <t xml:space="preserve">. </t>
    </r>
    <r>
      <rPr>
        <sz val="10"/>
        <rFont val="DejaVu Sans"/>
        <family val="2"/>
      </rPr>
      <t xml:space="preserve">카카오엔터 협업</t>
    </r>
  </si>
  <si>
    <t xml:space="preserve">크리에이터 기반</t>
  </si>
  <si>
    <r>
      <rPr>
        <sz val="10"/>
        <rFont val="DejaVu Sans"/>
        <family val="2"/>
      </rPr>
      <t xml:space="preserve">이세계아이돌</t>
    </r>
    <r>
      <rPr>
        <sz val="10"/>
        <rFont val="DejaVu Sans"/>
        <family val="2"/>
        <charset val="1"/>
      </rPr>
      <t xml:space="preserve">, IRISÉ</t>
    </r>
  </si>
  <si>
    <t xml:space="preserve">우왁굳 왁타버스 운영사</t>
  </si>
  <si>
    <r>
      <rPr>
        <sz val="10"/>
        <rFont val="Arial"/>
        <family val="0"/>
        <charset val="1"/>
      </rPr>
      <t xml:space="preserve">SM</t>
    </r>
    <r>
      <rPr>
        <sz val="10"/>
        <rFont val="DejaVu Sans"/>
        <family val="2"/>
      </rPr>
      <t xml:space="preserve">엔터테인먼트</t>
    </r>
  </si>
  <si>
    <t xml:space="preserve">대형 기획사</t>
  </si>
  <si>
    <r>
      <rPr>
        <sz val="10"/>
        <rFont val="Arial"/>
        <family val="0"/>
        <charset val="1"/>
      </rPr>
      <t xml:space="preserve">SM </t>
    </r>
    <r>
      <rPr>
        <sz val="10"/>
        <rFont val="DejaVu Sans"/>
        <family val="2"/>
      </rPr>
      <t xml:space="preserve">버추얼 </t>
    </r>
    <r>
      <rPr>
        <sz val="10"/>
        <rFont val="Arial"/>
        <family val="0"/>
        <charset val="1"/>
      </rPr>
      <t xml:space="preserve">IP</t>
    </r>
    <r>
      <rPr>
        <sz val="10"/>
        <rFont val="DejaVu Sans"/>
        <family val="2"/>
      </rPr>
      <t xml:space="preserve">센터</t>
    </r>
    <r>
      <rPr>
        <sz val="10"/>
        <rFont val="Arial"/>
        <family val="0"/>
        <charset val="1"/>
      </rPr>
      <t xml:space="preserve">. AI</t>
    </r>
    <r>
      <rPr>
        <sz val="10"/>
        <rFont val="DejaVu Sans"/>
        <family val="2"/>
      </rPr>
      <t xml:space="preserve">보이스 활용</t>
    </r>
  </si>
  <si>
    <t xml:space="preserve">버추얼 스타트업</t>
  </si>
  <si>
    <r>
      <rPr>
        <sz val="10"/>
        <rFont val="DejaVu Sans"/>
        <family val="2"/>
      </rPr>
      <t xml:space="preserve">실시간 모캡</t>
    </r>
    <r>
      <rPr>
        <sz val="10"/>
        <rFont val="DejaVu Sans"/>
        <family val="2"/>
        <charset val="1"/>
      </rPr>
      <t xml:space="preserve">+</t>
    </r>
    <r>
      <rPr>
        <sz val="10"/>
        <rFont val="DejaVu Sans"/>
        <family val="2"/>
      </rPr>
      <t xml:space="preserve">툰셰이딩</t>
    </r>
    <r>
      <rPr>
        <sz val="10"/>
        <rFont val="DejaVu Sans"/>
        <family val="2"/>
        <charset val="1"/>
      </rPr>
      <t xml:space="preserve">. </t>
    </r>
    <r>
      <rPr>
        <sz val="10"/>
        <rFont val="DejaVu Sans"/>
        <family val="2"/>
      </rPr>
      <t xml:space="preserve">시리즈</t>
    </r>
    <r>
      <rPr>
        <sz val="10"/>
        <rFont val="DejaVu Sans"/>
        <family val="2"/>
        <charset val="1"/>
      </rPr>
      <t xml:space="preserve">A 40</t>
    </r>
    <r>
      <rPr>
        <sz val="10"/>
        <rFont val="DejaVu Sans"/>
        <family val="2"/>
      </rPr>
      <t xml:space="preserve">억 유치</t>
    </r>
  </si>
  <si>
    <t xml:space="preserve">두리엔터테인먼트</t>
  </si>
  <si>
    <t xml:space="preserve">애니제작사 자회사</t>
  </si>
  <si>
    <r>
      <rPr>
        <sz val="10"/>
        <rFont val="DejaVu Sans"/>
        <family val="2"/>
      </rPr>
      <t xml:space="preserve">스튜디오미르 </t>
    </r>
    <r>
      <rPr>
        <sz val="10"/>
        <rFont val="DejaVu Sans"/>
        <family val="2"/>
        <charset val="1"/>
      </rPr>
      <t xml:space="preserve">100% </t>
    </r>
    <r>
      <rPr>
        <sz val="10"/>
        <rFont val="DejaVu Sans"/>
        <family val="2"/>
      </rPr>
      <t xml:space="preserve">자회사</t>
    </r>
  </si>
  <si>
    <t xml:space="preserve">엔터</t>
  </si>
  <si>
    <r>
      <rPr>
        <sz val="10"/>
        <rFont val="Arial"/>
        <family val="0"/>
        <charset val="1"/>
      </rPr>
      <t xml:space="preserve">7</t>
    </r>
    <r>
      <rPr>
        <sz val="10"/>
        <rFont val="DejaVu Sans"/>
        <family val="2"/>
      </rPr>
      <t xml:space="preserve">인조 보이그룹 운영</t>
    </r>
  </si>
  <si>
    <t xml:space="preserve">버추얼 록밴드</t>
  </si>
  <si>
    <r>
      <rPr>
        <sz val="10"/>
        <rFont val="DejaVu Sans"/>
        <family val="2"/>
      </rPr>
      <t xml:space="preserve">버추얼 록</t>
    </r>
    <r>
      <rPr>
        <sz val="10"/>
        <rFont val="DejaVu Sans"/>
        <family val="2"/>
        <charset val="1"/>
      </rPr>
      <t xml:space="preserve">/</t>
    </r>
    <r>
      <rPr>
        <sz val="10"/>
        <rFont val="DejaVu Sans"/>
        <family val="2"/>
      </rPr>
      <t xml:space="preserve">메탈 밴드</t>
    </r>
  </si>
  <si>
    <t xml:space="preserve">스튜디오 정키크림</t>
  </si>
  <si>
    <r>
      <rPr>
        <sz val="10"/>
        <rFont val="Arial"/>
        <family val="0"/>
        <charset val="1"/>
      </rPr>
      <t xml:space="preserve">AI </t>
    </r>
    <r>
      <rPr>
        <sz val="10"/>
        <rFont val="DejaVu Sans"/>
        <family val="2"/>
      </rPr>
      <t xml:space="preserve">스튜디오</t>
    </r>
  </si>
  <si>
    <r>
      <rPr>
        <sz val="10"/>
        <rFont val="Arial"/>
        <family val="0"/>
        <charset val="1"/>
      </rPr>
      <t xml:space="preserve">AI </t>
    </r>
    <r>
      <rPr>
        <sz val="10"/>
        <rFont val="DejaVu Sans"/>
        <family val="2"/>
      </rPr>
      <t xml:space="preserve">기반 버추얼 아이돌</t>
    </r>
  </si>
  <si>
    <r>
      <rPr>
        <sz val="10"/>
        <rFont val="Arial"/>
        <family val="0"/>
        <charset val="1"/>
      </rPr>
      <t xml:space="preserve">2019 </t>
    </r>
    <r>
      <rPr>
        <sz val="10"/>
        <rFont val="DejaVu Sans"/>
        <family val="2"/>
      </rPr>
      <t xml:space="preserve">데뷔 버추얼 </t>
    </r>
    <r>
      <rPr>
        <sz val="10"/>
        <rFont val="Arial"/>
        <family val="0"/>
        <charset val="1"/>
      </rPr>
      <t xml:space="preserve">K</t>
    </r>
    <r>
      <rPr>
        <sz val="10"/>
        <rFont val="DejaVu Sans"/>
        <family val="2"/>
      </rPr>
      <t xml:space="preserve">팝 솔로</t>
    </r>
  </si>
  <si>
    <r>
      <rPr>
        <sz val="10"/>
        <rFont val="Arial"/>
        <family val="0"/>
        <charset val="1"/>
      </rPr>
      <t xml:space="preserve">AI </t>
    </r>
    <r>
      <rPr>
        <sz val="10"/>
        <rFont val="DejaVu Sans"/>
        <family val="2"/>
      </rPr>
      <t xml:space="preserve">기업</t>
    </r>
  </si>
  <si>
    <r>
      <rPr>
        <sz val="10"/>
        <rFont val="Arial"/>
        <family val="0"/>
        <charset val="1"/>
      </rPr>
      <t xml:space="preserve">AI </t>
    </r>
    <r>
      <rPr>
        <sz val="10"/>
        <rFont val="DejaVu Sans"/>
        <family val="2"/>
      </rPr>
      <t xml:space="preserve">버추얼휴먼 걸그룹</t>
    </r>
    <r>
      <rPr>
        <sz val="10"/>
        <rFont val="Arial"/>
        <family val="0"/>
        <charset val="1"/>
      </rPr>
      <t xml:space="preserve">(11</t>
    </r>
    <r>
      <rPr>
        <sz val="10"/>
        <rFont val="DejaVu Sans"/>
        <family val="2"/>
      </rPr>
      <t xml:space="preserve">인</t>
    </r>
    <r>
      <rPr>
        <sz val="10"/>
        <rFont val="Arial"/>
        <family val="0"/>
        <charset val="1"/>
      </rPr>
      <t xml:space="preserve">)</t>
    </r>
  </si>
  <si>
    <r>
      <rPr>
        <sz val="10"/>
        <rFont val="DejaVu Sans"/>
        <family val="2"/>
      </rPr>
      <t xml:space="preserve">스마일게이트</t>
    </r>
    <r>
      <rPr>
        <sz val="10"/>
        <rFont val="DejaVu Sans"/>
        <family val="2"/>
        <charset val="1"/>
      </rPr>
      <t xml:space="preserve">·</t>
    </r>
    <r>
      <rPr>
        <sz val="10"/>
        <rFont val="DejaVu Sans"/>
        <family val="2"/>
      </rPr>
      <t xml:space="preserve">자이언트스텝</t>
    </r>
  </si>
  <si>
    <r>
      <rPr>
        <sz val="10"/>
        <rFont val="DejaVu Sans"/>
        <family val="2"/>
      </rPr>
      <t xml:space="preserve">게임</t>
    </r>
    <r>
      <rPr>
        <sz val="10"/>
        <rFont val="DejaVu Sans"/>
        <family val="2"/>
        <charset val="1"/>
      </rPr>
      <t xml:space="preserve">·VFX</t>
    </r>
  </si>
  <si>
    <t xml:space="preserve">버추얼휴먼 솔로</t>
  </si>
  <si>
    <r>
      <rPr>
        <sz val="10"/>
        <rFont val="DejaVu Sans"/>
        <family val="2"/>
      </rPr>
      <t xml:space="preserve">전문 </t>
    </r>
    <r>
      <rPr>
        <sz val="10"/>
        <rFont val="DejaVu Sans"/>
        <family val="2"/>
        <charset val="1"/>
      </rPr>
      <t xml:space="preserve">MCN</t>
    </r>
  </si>
  <si>
    <r>
      <rPr>
        <sz val="10"/>
        <rFont val="DejaVu Sans"/>
        <family val="2"/>
      </rPr>
      <t xml:space="preserve">유니버스</t>
    </r>
    <r>
      <rPr>
        <sz val="10"/>
        <rFont val="DejaVu Sans"/>
        <family val="2"/>
        <charset val="1"/>
      </rPr>
      <t xml:space="preserve">·</t>
    </r>
    <r>
      <rPr>
        <sz val="10"/>
        <rFont val="DejaVu Sans"/>
        <family val="2"/>
      </rPr>
      <t xml:space="preserve">클리셰</t>
    </r>
    <r>
      <rPr>
        <sz val="10"/>
        <rFont val="DejaVu Sans"/>
        <family val="2"/>
        <charset val="1"/>
      </rPr>
      <t xml:space="preserve">·</t>
    </r>
    <r>
      <rPr>
        <sz val="10"/>
        <rFont val="DejaVu Sans"/>
        <family val="2"/>
      </rPr>
      <t xml:space="preserve">에버리스</t>
    </r>
  </si>
  <si>
    <r>
      <rPr>
        <sz val="10"/>
        <rFont val="DejaVu Sans"/>
        <family val="2"/>
      </rPr>
      <t xml:space="preserve">강지 설립</t>
    </r>
    <r>
      <rPr>
        <sz val="10"/>
        <rFont val="DejaVu Sans"/>
        <family val="2"/>
        <charset val="1"/>
      </rPr>
      <t xml:space="preserve">. 2025.7 </t>
    </r>
    <r>
      <rPr>
        <sz val="10"/>
        <rFont val="DejaVu Sans"/>
        <family val="2"/>
      </rPr>
      <t xml:space="preserve">일본 브레이브그룹 인수</t>
    </r>
  </si>
  <si>
    <t xml:space="preserve">MCN</t>
  </si>
  <si>
    <t xml:space="preserve">RE:REVOLUTION, AFOTS</t>
  </si>
  <si>
    <t xml:space="preserve">김봉준 법인</t>
  </si>
  <si>
    <r>
      <rPr>
        <sz val="10"/>
        <rFont val="DejaVu Sans"/>
        <family val="2"/>
      </rPr>
      <t xml:space="preserve">종합 </t>
    </r>
    <r>
      <rPr>
        <sz val="10"/>
        <rFont val="DejaVu Sans"/>
        <family val="2"/>
        <charset val="1"/>
      </rPr>
      <t xml:space="preserve">MCN</t>
    </r>
  </si>
  <si>
    <t xml:space="preserve">GRIM PRODUCTION/PLAYGROUND</t>
  </si>
  <si>
    <r>
      <rPr>
        <sz val="10"/>
        <rFont val="Arial"/>
        <family val="0"/>
        <charset val="1"/>
      </rPr>
      <t xml:space="preserve">PROJECT Serenity·</t>
    </r>
    <r>
      <rPr>
        <sz val="10"/>
        <rFont val="DejaVu Sans"/>
        <family val="2"/>
      </rPr>
      <t xml:space="preserve">베리타</t>
    </r>
    <r>
      <rPr>
        <sz val="10"/>
        <rFont val="Arial"/>
        <family val="0"/>
        <charset val="1"/>
      </rPr>
      <t xml:space="preserve">·</t>
    </r>
    <r>
      <rPr>
        <sz val="10"/>
        <rFont val="DejaVu Sans"/>
        <family val="2"/>
      </rPr>
      <t xml:space="preserve">루시 아카데미</t>
    </r>
  </si>
  <si>
    <r>
      <rPr>
        <sz val="10"/>
        <rFont val="DejaVu Sans"/>
        <family val="2"/>
      </rPr>
      <t xml:space="preserve">스타게이저</t>
    </r>
    <r>
      <rPr>
        <sz val="10"/>
        <rFont val="DejaVu Sans"/>
        <family val="2"/>
        <charset val="1"/>
      </rPr>
      <t xml:space="preserve">, </t>
    </r>
    <r>
      <rPr>
        <sz val="10"/>
        <rFont val="DejaVu Sans"/>
        <family val="2"/>
      </rPr>
      <t xml:space="preserve">브이퍼리</t>
    </r>
  </si>
  <si>
    <t xml:space="preserve">버추얼 힙합 레이블</t>
  </si>
  <si>
    <r>
      <rPr>
        <sz val="10"/>
        <rFont val="DejaVu Sans"/>
        <family val="2"/>
      </rPr>
      <t xml:space="preserve">대표 빕어</t>
    </r>
    <r>
      <rPr>
        <sz val="10"/>
        <rFont val="DejaVu Sans"/>
        <family val="2"/>
        <charset val="1"/>
      </rPr>
      <t xml:space="preserve">. SOOP+</t>
    </r>
    <r>
      <rPr>
        <sz val="10"/>
        <rFont val="DejaVu Sans"/>
        <family val="2"/>
      </rPr>
      <t xml:space="preserve">유튜브</t>
    </r>
  </si>
  <si>
    <t xml:space="preserve">스튜디오</t>
  </si>
  <si>
    <t xml:space="preserve">기업</t>
  </si>
  <si>
    <r>
      <rPr>
        <sz val="10"/>
        <rFont val="DejaVu Sans"/>
        <family val="2"/>
      </rPr>
      <t xml:space="preserve">브이넥서스</t>
    </r>
    <r>
      <rPr>
        <sz val="10"/>
        <rFont val="DejaVu Sans"/>
        <family val="2"/>
        <charset val="1"/>
      </rPr>
      <t xml:space="preserve">(</t>
    </r>
    <r>
      <rPr>
        <sz val="10"/>
        <rFont val="DejaVu Sans"/>
        <family val="2"/>
      </rPr>
      <t xml:space="preserve">종료</t>
    </r>
    <r>
      <rPr>
        <sz val="10"/>
        <rFont val="DejaVu Sans"/>
        <family val="2"/>
        <charset val="1"/>
      </rPr>
      <t xml:space="preserve">)</t>
    </r>
  </si>
  <si>
    <r>
      <rPr>
        <sz val="10"/>
        <rFont val="Arial"/>
        <family val="0"/>
        <charset val="1"/>
      </rPr>
      <t xml:space="preserve">2024.6 </t>
    </r>
    <r>
      <rPr>
        <sz val="10"/>
        <rFont val="DejaVu Sans"/>
        <family val="2"/>
      </rPr>
      <t xml:space="preserve">활동 종료</t>
    </r>
  </si>
  <si>
    <r>
      <rPr>
        <sz val="10"/>
        <rFont val="DejaVu Sans"/>
        <family val="2"/>
      </rPr>
      <t xml:space="preserve">로나유니버스</t>
    </r>
    <r>
      <rPr>
        <sz val="10"/>
        <rFont val="DejaVu Sans"/>
        <family val="2"/>
        <charset val="1"/>
      </rPr>
      <t xml:space="preserve">/</t>
    </r>
    <r>
      <rPr>
        <sz val="10"/>
        <rFont val="DejaVu Sans"/>
        <family val="2"/>
      </rPr>
      <t xml:space="preserve">솔레어</t>
    </r>
  </si>
  <si>
    <r>
      <rPr>
        <sz val="10"/>
        <rFont val="Arial"/>
        <family val="0"/>
        <charset val="1"/>
      </rPr>
      <t xml:space="preserve">MCN(</t>
    </r>
    <r>
      <rPr>
        <sz val="10"/>
        <rFont val="DejaVu Sans"/>
        <family val="2"/>
      </rPr>
      <t xml:space="preserve">해체</t>
    </r>
    <r>
      <rPr>
        <sz val="10"/>
        <rFont val="Arial"/>
        <family val="0"/>
        <charset val="1"/>
      </rPr>
      <t xml:space="preserve">)</t>
    </r>
  </si>
  <si>
    <r>
      <rPr>
        <sz val="10"/>
        <rFont val="DejaVu Sans"/>
        <family val="2"/>
      </rPr>
      <t xml:space="preserve">보이스위츠</t>
    </r>
    <r>
      <rPr>
        <sz val="10"/>
        <rFont val="DejaVu Sans"/>
        <family val="2"/>
        <charset val="1"/>
      </rPr>
      <t xml:space="preserve">, </t>
    </r>
    <r>
      <rPr>
        <sz val="10"/>
        <rFont val="DejaVu Sans"/>
        <family val="2"/>
      </rPr>
      <t xml:space="preserve">솔레어</t>
    </r>
  </si>
  <si>
    <t xml:space="preserve">경영 논란 후 해체</t>
  </si>
  <si>
    <r>
      <rPr>
        <sz val="10"/>
        <rFont val="DejaVu Sans"/>
        <family val="2"/>
      </rPr>
      <t xml:space="preserve">해외 </t>
    </r>
    <r>
      <rPr>
        <sz val="10"/>
        <rFont val="DejaVu Sans"/>
        <family val="2"/>
        <charset val="1"/>
      </rPr>
      <t xml:space="preserve">MCN</t>
    </r>
  </si>
  <si>
    <r>
      <rPr>
        <sz val="10"/>
        <rFont val="DejaVu Sans"/>
        <family val="2"/>
      </rPr>
      <t xml:space="preserve">한국 지부 </t>
    </r>
    <r>
      <rPr>
        <sz val="10"/>
        <rFont val="DejaVu Sans"/>
        <family val="2"/>
        <charset val="1"/>
      </rPr>
      <t xml:space="preserve">2022 </t>
    </r>
    <r>
      <rPr>
        <sz val="10"/>
        <rFont val="DejaVu Sans"/>
        <family val="2"/>
      </rPr>
      <t xml:space="preserve">종료</t>
    </r>
  </si>
  <si>
    <t xml:space="preserve">한국 지부</t>
  </si>
  <si>
    <r>
      <rPr>
        <sz val="10"/>
        <rFont val="Arial"/>
        <family val="0"/>
        <charset val="1"/>
      </rPr>
      <t xml:space="preserve">AI/</t>
    </r>
    <r>
      <rPr>
        <sz val="10"/>
        <rFont val="DejaVu Sans"/>
        <family val="2"/>
      </rPr>
      <t xml:space="preserve">메타버스</t>
    </r>
  </si>
  <si>
    <r>
      <rPr>
        <sz val="10"/>
        <rFont val="DejaVu Sans"/>
        <family val="2"/>
      </rPr>
      <t xml:space="preserve">실제</t>
    </r>
    <r>
      <rPr>
        <sz val="10"/>
        <rFont val="DejaVu Sans"/>
        <family val="2"/>
        <charset val="1"/>
      </rPr>
      <t xml:space="preserve">+AI </t>
    </r>
    <r>
      <rPr>
        <sz val="10"/>
        <rFont val="DejaVu Sans"/>
        <family val="2"/>
      </rPr>
      <t xml:space="preserve">혼합 아이돌</t>
    </r>
  </si>
  <si>
    <r>
      <rPr>
        <sz val="10"/>
        <rFont val="Arial"/>
        <family val="0"/>
        <charset val="1"/>
      </rPr>
      <t xml:space="preserve">V-REAL </t>
    </r>
    <r>
      <rPr>
        <sz val="10"/>
        <rFont val="DejaVu Sans"/>
        <family val="2"/>
      </rPr>
      <t xml:space="preserve">프로젝트</t>
    </r>
  </si>
  <si>
    <t xml:space="preserve">오디션 프로젝트</t>
  </si>
  <si>
    <r>
      <rPr>
        <sz val="10"/>
        <rFont val="DejaVu Sans"/>
        <family val="2"/>
      </rPr>
      <t xml:space="preserve">러비타</t>
    </r>
    <r>
      <rPr>
        <sz val="10"/>
        <rFont val="DejaVu Sans"/>
        <family val="2"/>
        <charset val="1"/>
      </rPr>
      <t xml:space="preserve">(LUVITA)</t>
    </r>
  </si>
  <si>
    <r>
      <rPr>
        <sz val="10"/>
        <rFont val="Arial"/>
        <family val="0"/>
        <charset val="1"/>
      </rPr>
      <t xml:space="preserve">SOOP·MBC. </t>
    </r>
    <r>
      <rPr>
        <sz val="10"/>
        <rFont val="DejaVu Sans"/>
        <family val="2"/>
      </rPr>
      <t xml:space="preserve">김희철</t>
    </r>
    <r>
      <rPr>
        <sz val="10"/>
        <rFont val="Arial"/>
        <family val="0"/>
        <charset val="1"/>
      </rPr>
      <t xml:space="preserve">·</t>
    </r>
    <r>
      <rPr>
        <sz val="10"/>
        <rFont val="DejaVu Sans"/>
        <family val="2"/>
      </rPr>
      <t xml:space="preserve">예린 심사</t>
    </r>
  </si>
  <si>
    <t xml:space="preserve">밴드</t>
  </si>
  <si>
    <t xml:space="preserve">록밴드 버추얼 프로젝트</t>
  </si>
  <si>
    <r>
      <rPr>
        <sz val="10"/>
        <rFont val="DejaVu Sans"/>
        <family val="2"/>
      </rPr>
      <t xml:space="preserve">레벨스</t>
    </r>
    <r>
      <rPr>
        <sz val="10"/>
        <rFont val="DejaVu Sans"/>
        <family val="2"/>
        <charset val="1"/>
      </rPr>
      <t xml:space="preserve">(Levvels)</t>
    </r>
  </si>
  <si>
    <r>
      <rPr>
        <sz val="10"/>
        <rFont val="DejaVu Sans"/>
        <family val="2"/>
      </rPr>
      <t xml:space="preserve">플랫폼</t>
    </r>
    <r>
      <rPr>
        <sz val="10"/>
        <rFont val="DejaVu Sans"/>
        <family val="2"/>
        <charset val="1"/>
      </rPr>
      <t xml:space="preserve">·IP(</t>
    </r>
    <r>
      <rPr>
        <sz val="10"/>
        <rFont val="DejaVu Sans"/>
        <family val="2"/>
      </rPr>
      <t xml:space="preserve">두나무 자회사</t>
    </r>
    <r>
      <rPr>
        <sz val="10"/>
        <rFont val="DejaVu Sans"/>
        <family val="2"/>
        <charset val="1"/>
      </rPr>
      <t xml:space="preserve">)</t>
    </r>
  </si>
  <si>
    <r>
      <rPr>
        <sz val="10"/>
        <rFont val="Arial"/>
        <family val="0"/>
        <charset val="1"/>
      </rPr>
      <t xml:space="preserve">2025.8 </t>
    </r>
    <r>
      <rPr>
        <sz val="10"/>
        <rFont val="DejaVu Sans"/>
        <family val="2"/>
      </rPr>
      <t xml:space="preserve">아카이브엔터 </t>
    </r>
    <r>
      <rPr>
        <sz val="10"/>
        <rFont val="Arial"/>
        <family val="0"/>
        <charset val="1"/>
      </rPr>
      <t xml:space="preserve">80% </t>
    </r>
    <r>
      <rPr>
        <sz val="10"/>
        <rFont val="DejaVu Sans"/>
        <family val="2"/>
      </rPr>
      <t xml:space="preserve">인수</t>
    </r>
    <r>
      <rPr>
        <sz val="10"/>
        <rFont val="Arial"/>
        <family val="0"/>
        <charset val="1"/>
      </rPr>
      <t xml:space="preserve">. </t>
    </r>
    <r>
      <rPr>
        <sz val="10"/>
        <rFont val="DejaVu Sans"/>
        <family val="2"/>
      </rPr>
      <t xml:space="preserve">두나무</t>
    </r>
    <r>
      <rPr>
        <sz val="10"/>
        <rFont val="Arial"/>
        <family val="0"/>
        <charset val="1"/>
      </rPr>
      <t xml:space="preserve">-</t>
    </r>
    <r>
      <rPr>
        <sz val="10"/>
        <rFont val="DejaVu Sans"/>
        <family val="2"/>
      </rPr>
      <t xml:space="preserve">하이브 합작 출신</t>
    </r>
  </si>
  <si>
    <t xml:space="preserve">콘텐츠 제작사</t>
  </si>
  <si>
    <r>
      <rPr>
        <sz val="10"/>
        <rFont val="Arial"/>
        <family val="0"/>
        <charset val="1"/>
      </rPr>
      <t xml:space="preserve">GIRLZONE(</t>
    </r>
    <r>
      <rPr>
        <sz val="10"/>
        <rFont val="DejaVu Sans"/>
        <family val="2"/>
      </rPr>
      <t xml:space="preserve">걸즈원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</si>
  <si>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SOOP </t>
    </r>
    <r>
      <rPr>
        <sz val="10"/>
        <rFont val="DejaVu Sans"/>
        <family val="2"/>
      </rPr>
      <t xml:space="preserve">기반 다국적 버추얼 걸그룹 기획</t>
    </r>
  </si>
  <si>
    <r>
      <rPr>
        <sz val="10"/>
        <rFont val="DejaVu Sans"/>
        <family val="2"/>
      </rPr>
      <t xml:space="preserve">엘브이넥서스</t>
    </r>
    <r>
      <rPr>
        <sz val="10"/>
        <rFont val="DejaVu Sans"/>
        <family val="2"/>
        <charset val="1"/>
      </rPr>
      <t xml:space="preserve">(LV NEXUS)</t>
    </r>
  </si>
  <si>
    <r>
      <rPr>
        <sz val="10"/>
        <rFont val="DejaVu Sans"/>
        <family val="2"/>
      </rPr>
      <t xml:space="preserve">엔터</t>
    </r>
    <r>
      <rPr>
        <sz val="10"/>
        <rFont val="DejaVu Sans"/>
        <family val="2"/>
        <charset val="1"/>
      </rPr>
      <t xml:space="preserve">(</t>
    </r>
    <r>
      <rPr>
        <sz val="10"/>
        <rFont val="DejaVu Sans"/>
        <family val="2"/>
      </rPr>
      <t xml:space="preserve">추정</t>
    </r>
    <r>
      <rPr>
        <sz val="10"/>
        <rFont val="DejaVu Sans"/>
        <family val="2"/>
        <charset val="1"/>
      </rPr>
      <t xml:space="preserve">)</t>
    </r>
  </si>
  <si>
    <r>
      <rPr>
        <sz val="10"/>
        <rFont val="Arial"/>
        <family val="0"/>
        <charset val="1"/>
      </rPr>
      <t xml:space="preserve">L.I.N.C(</t>
    </r>
    <r>
      <rPr>
        <sz val="10"/>
        <rFont val="DejaVu Sans"/>
        <family val="2"/>
      </rPr>
      <t xml:space="preserve">링크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</si>
  <si>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2026.1.23 </t>
    </r>
    <r>
      <rPr>
        <sz val="10"/>
        <rFont val="DejaVu Sans"/>
        <family val="2"/>
      </rPr>
      <t xml:space="preserve">데뷔</t>
    </r>
    <r>
      <rPr>
        <sz val="10"/>
        <rFont val="Arial"/>
        <family val="0"/>
        <charset val="1"/>
      </rPr>
      <t xml:space="preserve">. </t>
    </r>
    <r>
      <rPr>
        <sz val="10"/>
        <rFont val="DejaVu Sans"/>
        <family val="2"/>
      </rPr>
      <t xml:space="preserve">보도자료 제공처 기준 추정</t>
    </r>
  </si>
  <si>
    <t xml:space="preserve">버추얼휴먼 제작사</t>
  </si>
  <si>
    <r>
      <rPr>
        <sz val="10"/>
        <rFont val="Arial"/>
        <family val="0"/>
        <charset val="1"/>
      </rPr>
      <t xml:space="preserve">AEONIT(</t>
    </r>
    <r>
      <rPr>
        <sz val="10"/>
        <rFont val="DejaVu Sans"/>
        <family val="2"/>
      </rPr>
      <t xml:space="preserve">종료</t>
    </r>
    <r>
      <rPr>
        <sz val="10"/>
        <rFont val="Arial"/>
        <family val="0"/>
        <charset val="1"/>
      </rPr>
      <t xml:space="preserve">)</t>
    </r>
  </si>
  <si>
    <r>
      <rPr>
        <sz val="10"/>
        <rFont val="DejaVu Sans"/>
        <family val="2"/>
      </rPr>
      <t xml:space="preserve">수아</t>
    </r>
    <r>
      <rPr>
        <sz val="10"/>
        <rFont val="DejaVu Sans"/>
        <family val="2"/>
        <charset val="1"/>
      </rPr>
      <t xml:space="preserve">(SUA) </t>
    </r>
    <r>
      <rPr>
        <sz val="10"/>
        <rFont val="DejaVu Sans"/>
        <family val="2"/>
      </rPr>
      <t xml:space="preserve">개발사</t>
    </r>
    <r>
      <rPr>
        <sz val="10"/>
        <rFont val="DejaVu Sans"/>
        <family val="2"/>
        <charset val="1"/>
      </rPr>
      <t xml:space="preserve">. AEONIT 2025.7 </t>
    </r>
    <r>
      <rPr>
        <sz val="10"/>
        <rFont val="DejaVu Sans"/>
        <family val="2"/>
      </rPr>
      <t xml:space="preserve">종료</t>
    </r>
  </si>
  <si>
    <r>
      <rPr>
        <sz val="10"/>
        <rFont val="Arial"/>
        <family val="0"/>
        <charset val="1"/>
      </rPr>
      <t xml:space="preserve">Sphaze(</t>
    </r>
    <r>
      <rPr>
        <sz val="10"/>
        <rFont val="DejaVu Sans"/>
        <family val="2"/>
      </rPr>
      <t xml:space="preserve">종료</t>
    </r>
    <r>
      <rPr>
        <sz val="10"/>
        <rFont val="Arial"/>
        <family val="0"/>
        <charset val="1"/>
      </rPr>
      <t xml:space="preserve">)</t>
    </r>
  </si>
  <si>
    <r>
      <rPr>
        <sz val="10"/>
        <rFont val="DejaVu Sans"/>
        <family val="2"/>
      </rPr>
      <t xml:space="preserve">웹툰 연계 버추얼 보이그룹</t>
    </r>
    <r>
      <rPr>
        <sz val="10"/>
        <rFont val="DejaVu Sans"/>
        <family val="2"/>
        <charset val="1"/>
      </rPr>
      <t xml:space="preserve">. 2025.10 </t>
    </r>
    <r>
      <rPr>
        <sz val="10"/>
        <rFont val="DejaVu Sans"/>
        <family val="2"/>
      </rPr>
      <t xml:space="preserve">종료</t>
    </r>
  </si>
  <si>
    <r>
      <rPr>
        <sz val="10"/>
        <rFont val="DejaVu Sans"/>
        <family val="2"/>
      </rPr>
      <t xml:space="preserve">음악 제작</t>
    </r>
    <r>
      <rPr>
        <sz val="10"/>
        <rFont val="DejaVu Sans"/>
        <family val="2"/>
        <charset val="1"/>
      </rPr>
      <t xml:space="preserve">(</t>
    </r>
    <r>
      <rPr>
        <sz val="10"/>
        <rFont val="DejaVu Sans"/>
        <family val="2"/>
      </rPr>
      <t xml:space="preserve">김형석</t>
    </r>
    <r>
      <rPr>
        <sz val="10"/>
        <rFont val="DejaVu Sans"/>
        <family val="2"/>
        <charset val="1"/>
      </rPr>
      <t xml:space="preserve">)</t>
    </r>
  </si>
  <si>
    <r>
      <rPr>
        <sz val="10"/>
        <rFont val="DejaVu Sans"/>
        <family val="2"/>
      </rPr>
      <t xml:space="preserve">사공이호</t>
    </r>
    <r>
      <rPr>
        <sz val="10"/>
        <rFont val="DejaVu Sans"/>
        <family val="2"/>
        <charset val="1"/>
      </rPr>
      <t xml:space="preserve">(</t>
    </r>
    <r>
      <rPr>
        <sz val="10"/>
        <rFont val="DejaVu Sans"/>
        <family val="2"/>
      </rPr>
      <t xml:space="preserve">휴면</t>
    </r>
    <r>
      <rPr>
        <sz val="10"/>
        <rFont val="DejaVu Sans"/>
        <family val="2"/>
        <charset val="1"/>
      </rPr>
      <t xml:space="preserve">)</t>
    </r>
  </si>
  <si>
    <r>
      <rPr>
        <sz val="10"/>
        <rFont val="Arial"/>
        <family val="0"/>
        <charset val="1"/>
      </rPr>
      <t xml:space="preserve">SBS </t>
    </r>
    <r>
      <rPr>
        <sz val="10"/>
        <rFont val="DejaVu Sans"/>
        <family val="2"/>
      </rPr>
      <t xml:space="preserve">인기가요 데뷔 이력</t>
    </r>
  </si>
  <si>
    <t xml:space="preserve">버추얼휴먼 제작</t>
  </si>
  <si>
    <r>
      <rPr>
        <sz val="10"/>
        <rFont val="DejaVu Sans"/>
        <family val="2"/>
      </rPr>
      <t xml:space="preserve">오로지</t>
    </r>
    <r>
      <rPr>
        <sz val="10"/>
        <rFont val="DejaVu Sans"/>
        <family val="2"/>
        <charset val="1"/>
      </rPr>
      <t xml:space="preserve">/</t>
    </r>
    <r>
      <rPr>
        <sz val="10"/>
        <rFont val="DejaVu Sans"/>
        <family val="2"/>
      </rPr>
      <t xml:space="preserve">로지</t>
    </r>
    <r>
      <rPr>
        <sz val="10"/>
        <rFont val="DejaVu Sans"/>
        <family val="2"/>
        <charset val="1"/>
      </rPr>
      <t xml:space="preserve">(</t>
    </r>
    <r>
      <rPr>
        <sz val="10"/>
        <rFont val="DejaVu Sans"/>
        <family val="2"/>
      </rPr>
      <t xml:space="preserve">휴면</t>
    </r>
    <r>
      <rPr>
        <sz val="10"/>
        <rFont val="DejaVu Sans"/>
        <family val="2"/>
        <charset val="1"/>
      </rPr>
      <t xml:space="preserve">)</t>
    </r>
  </si>
  <si>
    <t xml:space="preserve">국내 첫 버추얼 인플루언서 로지</t>
  </si>
  <si>
    <r>
      <rPr>
        <sz val="10"/>
        <rFont val="Arial"/>
        <family val="0"/>
        <charset val="1"/>
      </rPr>
      <t xml:space="preserve">KPLUS(</t>
    </r>
    <r>
      <rPr>
        <sz val="10"/>
        <rFont val="DejaVu Sans"/>
        <family val="2"/>
      </rPr>
      <t xml:space="preserve">케이플러스</t>
    </r>
    <r>
      <rPr>
        <sz val="10"/>
        <rFont val="Arial"/>
        <family val="0"/>
        <charset val="1"/>
      </rPr>
      <t xml:space="preserve">)</t>
    </r>
  </si>
  <si>
    <t xml:space="preserve">매니지먼트</t>
  </si>
  <si>
    <r>
      <rPr>
        <sz val="10"/>
        <rFont val="DejaVu Sans"/>
        <family val="2"/>
      </rPr>
      <t xml:space="preserve">한유아</t>
    </r>
    <r>
      <rPr>
        <sz val="10"/>
        <rFont val="DejaVu Sans"/>
        <family val="2"/>
        <charset val="1"/>
      </rPr>
      <t xml:space="preserve">(</t>
    </r>
    <r>
      <rPr>
        <sz val="10"/>
        <rFont val="DejaVu Sans"/>
        <family val="2"/>
      </rPr>
      <t xml:space="preserve">휴면</t>
    </r>
    <r>
      <rPr>
        <sz val="10"/>
        <rFont val="DejaVu Sans"/>
        <family val="2"/>
        <charset val="1"/>
      </rPr>
      <t xml:space="preserve">)</t>
    </r>
  </si>
  <si>
    <r>
      <rPr>
        <sz val="10"/>
        <rFont val="DejaVu Sans"/>
        <family val="2"/>
      </rPr>
      <t xml:space="preserve">개발</t>
    </r>
    <r>
      <rPr>
        <sz val="10"/>
        <rFont val="DejaVu Sans"/>
        <family val="2"/>
        <charset val="1"/>
      </rPr>
      <t xml:space="preserve">: </t>
    </r>
    <r>
      <rPr>
        <sz val="10"/>
        <rFont val="DejaVu Sans"/>
        <family val="2"/>
      </rPr>
      <t xml:space="preserve">스마일게이트</t>
    </r>
    <r>
      <rPr>
        <sz val="10"/>
        <rFont val="DejaVu Sans"/>
        <family val="2"/>
        <charset val="1"/>
      </rPr>
      <t xml:space="preserve">×</t>
    </r>
    <r>
      <rPr>
        <sz val="10"/>
        <rFont val="DejaVu Sans"/>
        <family val="2"/>
      </rPr>
      <t xml:space="preserve">자이언트스텝</t>
    </r>
  </si>
  <si>
    <t xml:space="preserve">노마드엔터테인먼트</t>
  </si>
  <si>
    <t xml:space="preserve">코팬글로벌 전략 협력</t>
  </si>
  <si>
    <t xml:space="preserve">리웨이뮤직앤미디어</t>
  </si>
  <si>
    <r>
      <rPr>
        <sz val="10"/>
        <rFont val="DejaVu Sans"/>
        <family val="2"/>
      </rPr>
      <t xml:space="preserve">음악 제작</t>
    </r>
    <r>
      <rPr>
        <sz val="10"/>
        <rFont val="DejaVu Sans"/>
        <family val="2"/>
        <charset val="1"/>
      </rPr>
      <t xml:space="preserve">·</t>
    </r>
    <r>
      <rPr>
        <sz val="10"/>
        <rFont val="DejaVu Sans"/>
        <family val="2"/>
      </rPr>
      <t xml:space="preserve">저작권</t>
    </r>
  </si>
  <si>
    <r>
      <rPr>
        <sz val="10"/>
        <rFont val="DejaVu Sans"/>
        <family val="2"/>
      </rPr>
      <t xml:space="preserve">크레딧 명의 </t>
    </r>
    <r>
      <rPr>
        <sz val="10"/>
        <rFont val="DejaVu Sans"/>
        <family val="2"/>
        <charset val="1"/>
      </rPr>
      <t xml:space="preserve">CONCRETEBABY. </t>
    </r>
    <r>
      <rPr>
        <sz val="10"/>
        <rFont val="DejaVu Sans"/>
        <family val="2"/>
      </rPr>
      <t xml:space="preserve">부분 확정</t>
    </r>
  </si>
  <si>
    <t xml:space="preserve">요약 통계</t>
  </si>
  <si>
    <t xml:space="preserve">전체 그룹 수</t>
  </si>
  <si>
    <r>
      <rPr>
        <b val="true"/>
        <sz val="10"/>
        <rFont val="DejaVu Sans"/>
        <family val="2"/>
      </rPr>
      <t xml:space="preserve">해체</t>
    </r>
    <r>
      <rPr>
        <b val="true"/>
        <sz val="10"/>
        <rFont val="DejaVu Sans"/>
        <family val="2"/>
        <charset val="1"/>
      </rPr>
      <t xml:space="preserve">/</t>
    </r>
    <r>
      <rPr>
        <b val="true"/>
        <sz val="10"/>
        <rFont val="DejaVu Sans"/>
        <family val="2"/>
      </rPr>
      <t xml:space="preserve">종료</t>
    </r>
  </si>
  <si>
    <r>
      <rPr>
        <b val="true"/>
        <sz val="10"/>
        <rFont val="DejaVu Sans"/>
        <family val="2"/>
      </rPr>
      <t xml:space="preserve">확인필요</t>
    </r>
    <r>
      <rPr>
        <b val="true"/>
        <sz val="10"/>
        <rFont val="DejaVu Sans"/>
        <family val="2"/>
        <charset val="1"/>
      </rPr>
      <t xml:space="preserve">(</t>
    </r>
    <r>
      <rPr>
        <b val="true"/>
        <sz val="10"/>
        <rFont val="DejaVu Sans"/>
        <family val="2"/>
      </rPr>
      <t xml:space="preserve">추가조사</t>
    </r>
    <r>
      <rPr>
        <b val="true"/>
        <sz val="10"/>
        <rFont val="DejaVu Sans"/>
        <family val="2"/>
        <charset val="1"/>
      </rPr>
      <t xml:space="preserve">)</t>
    </r>
  </si>
  <si>
    <r>
      <rPr>
        <b val="true"/>
        <sz val="10"/>
        <rFont val="DejaVu Sans"/>
        <family val="2"/>
      </rPr>
      <t xml:space="preserve">휴면</t>
    </r>
    <r>
      <rPr>
        <b val="true"/>
        <sz val="10"/>
        <rFont val="DejaVu Sans"/>
        <family val="2"/>
        <charset val="1"/>
      </rPr>
      <t xml:space="preserve">(</t>
    </r>
    <r>
      <rPr>
        <b val="true"/>
        <sz val="10"/>
        <rFont val="DejaVu Sans"/>
        <family val="2"/>
      </rPr>
      <t xml:space="preserve">사실상 중단</t>
    </r>
    <r>
      <rPr>
        <b val="true"/>
        <sz val="10"/>
        <rFont val="DejaVu Sans"/>
        <family val="2"/>
        <charset val="1"/>
      </rPr>
      <t xml:space="preserve">)</t>
    </r>
  </si>
  <si>
    <t xml:space="preserve">─ 분류별 ─</t>
  </si>
  <si>
    <r>
      <rPr>
        <b val="true"/>
        <sz val="10"/>
        <rFont val="DejaVu Sans"/>
        <family val="2"/>
      </rPr>
      <t xml:space="preserve">음반</t>
    </r>
    <r>
      <rPr>
        <b val="true"/>
        <sz val="10"/>
        <rFont val="DejaVu Sans"/>
        <family val="2"/>
        <charset val="1"/>
      </rPr>
      <t xml:space="preserve">/</t>
    </r>
    <r>
      <rPr>
        <b val="true"/>
        <sz val="10"/>
        <rFont val="DejaVu Sans"/>
        <family val="2"/>
      </rPr>
      <t xml:space="preserve">아이돌형</t>
    </r>
  </si>
  <si>
    <r>
      <rPr>
        <b val="true"/>
        <sz val="10"/>
        <rFont val="DejaVu Sans"/>
        <family val="2"/>
      </rPr>
      <t xml:space="preserve">버추얼휴먼</t>
    </r>
    <r>
      <rPr>
        <b val="true"/>
        <sz val="10"/>
        <rFont val="DejaVu Sans"/>
        <family val="2"/>
        <charset val="1"/>
      </rPr>
      <t xml:space="preserve">/</t>
    </r>
    <r>
      <rPr>
        <b val="true"/>
        <sz val="10"/>
        <rFont val="DejaVu Sans"/>
        <family val="2"/>
      </rPr>
      <t xml:space="preserve">솔로</t>
    </r>
  </si>
  <si>
    <r>
      <rPr>
        <b val="true"/>
        <sz val="10"/>
        <rFont val="DejaVu Sans"/>
        <family val="2"/>
      </rPr>
      <t xml:space="preserve">스트리밍</t>
    </r>
    <r>
      <rPr>
        <b val="true"/>
        <sz val="10"/>
        <rFont val="DejaVu Sans"/>
        <family val="2"/>
        <charset val="1"/>
      </rPr>
      <t xml:space="preserve">/MCN</t>
    </r>
    <r>
      <rPr>
        <b val="true"/>
        <sz val="10"/>
        <rFont val="DejaVu Sans"/>
        <family val="2"/>
      </rPr>
      <t xml:space="preserve">형</t>
    </r>
  </si>
  <si>
    <r>
      <rPr>
        <b val="true"/>
        <sz val="14"/>
        <color rgb="FFFFFFFF"/>
        <rFont val="Arial"/>
        <family val="0"/>
        <charset val="1"/>
      </rPr>
      <t xml:space="preserve">2026 </t>
    </r>
    <r>
      <rPr>
        <b val="true"/>
        <sz val="14"/>
        <color rgb="FFFFFFFF"/>
        <rFont val="DejaVu Sans"/>
        <family val="2"/>
      </rPr>
      <t xml:space="preserve">신규 데뷔 </t>
    </r>
    <r>
      <rPr>
        <b val="true"/>
        <sz val="14"/>
        <color rgb="FFFFFFFF"/>
        <rFont val="Arial"/>
        <family val="0"/>
        <charset val="1"/>
      </rPr>
      <t xml:space="preserve">· </t>
    </r>
    <r>
      <rPr>
        <b val="true"/>
        <sz val="14"/>
        <color rgb="FFFFFFFF"/>
        <rFont val="DejaVu Sans"/>
        <family val="2"/>
      </rPr>
      <t xml:space="preserve">데뷔 예정 워치리스트</t>
    </r>
  </si>
  <si>
    <r>
      <rPr>
        <b val="true"/>
        <sz val="10"/>
        <color rgb="FFFFFFFF"/>
        <rFont val="DejaVu Sans"/>
        <family val="2"/>
      </rPr>
      <t xml:space="preserve">그룹</t>
    </r>
    <r>
      <rPr>
        <b val="true"/>
        <sz val="10"/>
        <color rgb="FFFFFFFF"/>
        <rFont val="DejaVu Sans"/>
        <family val="2"/>
        <charset val="1"/>
      </rPr>
      <t xml:space="preserve">·</t>
    </r>
    <r>
      <rPr>
        <b val="true"/>
        <sz val="10"/>
        <color rgb="FFFFFFFF"/>
        <rFont val="DejaVu Sans"/>
        <family val="2"/>
      </rPr>
      <t xml:space="preserve">프로젝트</t>
    </r>
  </si>
  <si>
    <r>
      <rPr>
        <b val="true"/>
        <sz val="10"/>
        <color rgb="FFFFFFFF"/>
        <rFont val="DejaVu Sans"/>
        <family val="2"/>
      </rPr>
      <t xml:space="preserve">데뷔</t>
    </r>
    <r>
      <rPr>
        <b val="true"/>
        <sz val="10"/>
        <color rgb="FFFFFFFF"/>
        <rFont val="DejaVu Sans"/>
        <family val="2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예정</t>
    </r>
    <r>
      <rPr>
        <b val="true"/>
        <sz val="10"/>
        <color rgb="FFFFFFFF"/>
        <rFont val="DejaVu Sans"/>
        <family val="2"/>
        <charset val="1"/>
      </rPr>
      <t xml:space="preserve">)</t>
    </r>
    <r>
      <rPr>
        <b val="true"/>
        <sz val="10"/>
        <color rgb="FFFFFFFF"/>
        <rFont val="DejaVu Sans"/>
        <family val="2"/>
      </rPr>
      <t xml:space="preserve">일</t>
    </r>
  </si>
  <si>
    <r>
      <rPr>
        <sz val="10"/>
        <rFont val="Arial"/>
        <family val="0"/>
        <charset val="1"/>
      </rPr>
      <t xml:space="preserve">WE GO-6 (</t>
    </r>
    <r>
      <rPr>
        <sz val="10"/>
        <rFont val="DejaVu Sans"/>
        <family val="2"/>
      </rPr>
      <t xml:space="preserve">위고식스</t>
    </r>
    <r>
      <rPr>
        <sz val="10"/>
        <rFont val="Arial"/>
        <family val="0"/>
        <charset val="1"/>
      </rPr>
      <t xml:space="preserve">)</t>
    </r>
  </si>
  <si>
    <t xml:space="preserve">프리데뷔→정식 예정</t>
  </si>
  <si>
    <r>
      <rPr>
        <sz val="10"/>
        <rFont val="Arial"/>
        <family val="0"/>
        <charset val="1"/>
      </rPr>
      <t xml:space="preserve">2026 </t>
    </r>
    <r>
      <rPr>
        <sz val="10"/>
        <rFont val="DejaVu Sans"/>
        <family val="2"/>
      </rPr>
      <t xml:space="preserve">여름</t>
    </r>
    <r>
      <rPr>
        <sz val="10"/>
        <rFont val="Arial"/>
        <family val="0"/>
        <charset val="1"/>
      </rPr>
      <t xml:space="preserve">(</t>
    </r>
    <r>
      <rPr>
        <sz val="10"/>
        <rFont val="DejaVu Sans"/>
        <family val="2"/>
      </rPr>
      <t xml:space="preserve">목표</t>
    </r>
    <r>
      <rPr>
        <sz val="10"/>
        <rFont val="Arial"/>
        <family val="0"/>
        <charset val="1"/>
      </rPr>
      <t xml:space="preserve">)</t>
    </r>
  </si>
  <si>
    <r>
      <rPr>
        <sz val="10"/>
        <rFont val="DejaVu Sans"/>
        <family val="2"/>
      </rPr>
      <t xml:space="preserve">멀티페르소나 </t>
    </r>
    <r>
      <rPr>
        <sz val="10"/>
        <rFont val="DejaVu Sans"/>
        <family val="2"/>
        <charset val="1"/>
      </rPr>
      <t xml:space="preserve">6</t>
    </r>
    <r>
      <rPr>
        <sz val="10"/>
        <rFont val="DejaVu Sans"/>
        <family val="2"/>
      </rPr>
      <t xml:space="preserve">인 보이그룹</t>
    </r>
    <r>
      <rPr>
        <sz val="10"/>
        <rFont val="DejaVu Sans"/>
        <family val="2"/>
        <charset val="1"/>
      </rPr>
      <t xml:space="preserve">. 5</t>
    </r>
    <r>
      <rPr>
        <sz val="10"/>
        <rFont val="DejaVu Sans"/>
        <family val="2"/>
      </rPr>
      <t xml:space="preserve">월 첫 라이브</t>
    </r>
    <r>
      <rPr>
        <sz val="10"/>
        <rFont val="DejaVu Sans"/>
        <family val="2"/>
        <charset val="1"/>
      </rPr>
      <t xml:space="preserve">, </t>
    </r>
    <r>
      <rPr>
        <sz val="10"/>
        <rFont val="DejaVu Sans"/>
        <family val="2"/>
      </rPr>
      <t xml:space="preserve">정식데뷔 준비 중</t>
    </r>
  </si>
  <si>
    <r>
      <rPr>
        <sz val="10"/>
        <rFont val="Arial"/>
        <family val="0"/>
        <charset val="1"/>
      </rPr>
      <t xml:space="preserve">23</t>
    </r>
    <r>
      <rPr>
        <sz val="10"/>
        <rFont val="DejaVu Sans"/>
        <family val="2"/>
      </rPr>
      <t xml:space="preserve">세기아이들 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호 보이그룹</t>
    </r>
  </si>
  <si>
    <t xml:space="preserve">데뷔 예정</t>
  </si>
  <si>
    <r>
      <rPr>
        <sz val="10"/>
        <rFont val="Arial"/>
        <family val="0"/>
        <charset val="1"/>
      </rPr>
      <t xml:space="preserve">2026 </t>
    </r>
    <r>
      <rPr>
        <sz val="10"/>
        <rFont val="DejaVu Sans"/>
        <family val="2"/>
      </rPr>
      <t xml:space="preserve">내</t>
    </r>
  </si>
  <si>
    <r>
      <rPr>
        <sz val="10"/>
        <rFont val="DejaVu Sans"/>
        <family val="2"/>
      </rPr>
      <t xml:space="preserve">위고식스에 이은 두 번째 버추얼 보이그룹</t>
    </r>
    <r>
      <rPr>
        <sz val="10"/>
        <rFont val="DejaVu Sans"/>
        <family val="2"/>
        <charset val="1"/>
      </rPr>
      <t xml:space="preserve">(</t>
    </r>
    <r>
      <rPr>
        <sz val="10"/>
        <rFont val="DejaVu Sans"/>
        <family val="2"/>
      </rPr>
      <t xml:space="preserve">회사 발표</t>
    </r>
    <r>
      <rPr>
        <sz val="10"/>
        <rFont val="DejaVu Sans"/>
        <family val="2"/>
        <charset val="1"/>
      </rPr>
      <t xml:space="preserve">)</t>
    </r>
  </si>
  <si>
    <r>
      <rPr>
        <sz val="10"/>
        <rFont val="DejaVu Sans"/>
        <family val="2"/>
      </rPr>
      <t xml:space="preserve">링크 </t>
    </r>
    <r>
      <rPr>
        <sz val="10"/>
        <rFont val="DejaVu Sans"/>
        <family val="2"/>
        <charset val="1"/>
      </rPr>
      <t xml:space="preserve">(LINK)</t>
    </r>
  </si>
  <si>
    <r>
      <rPr>
        <sz val="10"/>
        <rFont val="Arial"/>
        <family val="0"/>
        <charset val="1"/>
      </rPr>
      <t xml:space="preserve">(</t>
    </r>
    <r>
      <rPr>
        <sz val="10"/>
        <rFont val="DejaVu Sans"/>
        <family val="2"/>
      </rPr>
      <t xml:space="preserve">미확인</t>
    </r>
    <r>
      <rPr>
        <sz val="10"/>
        <rFont val="Arial"/>
        <family val="0"/>
        <charset val="1"/>
      </rPr>
      <t xml:space="preserve">)</t>
    </r>
  </si>
  <si>
    <t xml:space="preserve">신규 데뷔</t>
  </si>
  <si>
    <t xml:space="preserve">2026.1.23</t>
  </si>
  <si>
    <r>
      <rPr>
        <sz val="10"/>
        <rFont val="Arial"/>
        <family val="0"/>
        <charset val="1"/>
      </rPr>
      <t xml:space="preserve">2026</t>
    </r>
    <r>
      <rPr>
        <sz val="10"/>
        <rFont val="DejaVu Sans"/>
        <family val="2"/>
      </rPr>
      <t xml:space="preserve">년 첫 데뷔 여성 버추얼 아이돌</t>
    </r>
  </si>
  <si>
    <r>
      <rPr>
        <sz val="10"/>
        <rFont val="DejaVu Sans"/>
        <family val="2"/>
      </rPr>
      <t xml:space="preserve">미라클 </t>
    </r>
    <r>
      <rPr>
        <sz val="10"/>
        <rFont val="DejaVu Sans"/>
        <family val="2"/>
        <charset val="1"/>
      </rPr>
      <t xml:space="preserve">(MY:RAKL)</t>
    </r>
  </si>
  <si>
    <t xml:space="preserve">2026.1.26</t>
  </si>
  <si>
    <r>
      <rPr>
        <sz val="10"/>
        <rFont val="Arial"/>
        <family val="0"/>
        <charset val="1"/>
      </rPr>
      <t xml:space="preserve">5</t>
    </r>
    <r>
      <rPr>
        <sz val="10"/>
        <rFont val="DejaVu Sans"/>
        <family val="2"/>
      </rPr>
      <t xml:space="preserve">인조 보이그룹</t>
    </r>
    <r>
      <rPr>
        <sz val="10"/>
        <rFont val="Arial"/>
        <family val="0"/>
        <charset val="1"/>
      </rPr>
      <t xml:space="preserve">. </t>
    </r>
    <r>
      <rPr>
        <sz val="10"/>
        <rFont val="DejaVu Sans"/>
        <family val="2"/>
      </rPr>
      <t xml:space="preserve">전생 톱아이돌 환생 컨셉</t>
    </r>
  </si>
  <si>
    <r>
      <rPr>
        <sz val="10"/>
        <rFont val="Arial"/>
        <family val="0"/>
        <charset val="1"/>
      </rPr>
      <t xml:space="preserve">MW:MEU (</t>
    </r>
    <r>
      <rPr>
        <sz val="10"/>
        <rFont val="DejaVu Sans"/>
        <family val="2"/>
      </rPr>
      <t xml:space="preserve">뮤</t>
    </r>
    <r>
      <rPr>
        <sz val="10"/>
        <rFont val="Arial"/>
        <family val="0"/>
        <charset val="1"/>
      </rPr>
      <t xml:space="preserve">)</t>
    </r>
  </si>
  <si>
    <t xml:space="preserve">2026.4.20</t>
  </si>
  <si>
    <r>
      <rPr>
        <sz val="10"/>
        <rFont val="Arial"/>
        <family val="0"/>
        <charset val="1"/>
      </rPr>
      <t xml:space="preserve">5</t>
    </r>
    <r>
      <rPr>
        <sz val="10"/>
        <rFont val="DejaVu Sans"/>
        <family val="2"/>
      </rPr>
      <t xml:space="preserve">인조 걸그룹</t>
    </r>
    <r>
      <rPr>
        <sz val="10"/>
        <rFont val="Arial"/>
        <family val="0"/>
        <charset val="1"/>
      </rPr>
      <t xml:space="preserve">(</t>
    </r>
    <r>
      <rPr>
        <sz val="10"/>
        <rFont val="DejaVu Sans"/>
        <family val="2"/>
      </rPr>
      <t xml:space="preserve">고양이</t>
    </r>
    <r>
      <rPr>
        <sz val="10"/>
        <rFont val="Arial"/>
        <family val="0"/>
        <charset val="1"/>
      </rPr>
      <t xml:space="preserve">). </t>
    </r>
    <r>
      <rPr>
        <sz val="10"/>
        <rFont val="DejaVu Sans"/>
        <family val="2"/>
      </rPr>
      <t xml:space="preserve">프리데뷔 </t>
    </r>
    <r>
      <rPr>
        <sz val="10"/>
        <rFont val="Arial"/>
        <family val="0"/>
        <charset val="1"/>
      </rPr>
      <t xml:space="preserve">2025.11.16</t>
    </r>
  </si>
  <si>
    <r>
      <rPr>
        <sz val="10"/>
        <rFont val="DejaVu Sans"/>
        <family val="2"/>
      </rPr>
      <t xml:space="preserve">비던 </t>
    </r>
    <r>
      <rPr>
        <sz val="10"/>
        <rFont val="DejaVu Sans"/>
        <family val="2"/>
        <charset val="1"/>
      </rPr>
      <t xml:space="preserve">(B:DAWN)</t>
    </r>
  </si>
  <si>
    <r>
      <rPr>
        <sz val="10"/>
        <rFont val="DejaVu Sans"/>
        <family val="2"/>
      </rPr>
      <t xml:space="preserve">두리엔터테인먼트</t>
    </r>
    <r>
      <rPr>
        <sz val="10"/>
        <rFont val="DejaVu Sans"/>
        <family val="2"/>
        <charset val="1"/>
      </rPr>
      <t xml:space="preserve">(</t>
    </r>
    <r>
      <rPr>
        <sz val="10"/>
        <rFont val="DejaVu Sans"/>
        <family val="2"/>
      </rPr>
      <t xml:space="preserve">스튜디오미르</t>
    </r>
    <r>
      <rPr>
        <sz val="10"/>
        <rFont val="DejaVu Sans"/>
        <family val="2"/>
        <charset val="1"/>
      </rPr>
      <t xml:space="preserve">)</t>
    </r>
  </si>
  <si>
    <t xml:space="preserve">2026.5.6</t>
  </si>
  <si>
    <r>
      <rPr>
        <sz val="10"/>
        <rFont val="Arial"/>
        <family val="0"/>
        <charset val="1"/>
      </rPr>
      <t xml:space="preserve">5</t>
    </r>
    <r>
      <rPr>
        <sz val="10"/>
        <rFont val="DejaVu Sans"/>
        <family val="2"/>
      </rPr>
      <t xml:space="preserve">인조</t>
    </r>
    <r>
      <rPr>
        <sz val="10"/>
        <rFont val="Arial"/>
        <family val="0"/>
        <charset val="1"/>
      </rPr>
      <t xml:space="preserve">. </t>
    </r>
    <r>
      <rPr>
        <sz val="10"/>
        <rFont val="DejaVu Sans"/>
        <family val="2"/>
      </rPr>
      <t xml:space="preserve">멤버 전원 운동선수 출신</t>
    </r>
  </si>
  <si>
    <r>
      <rPr>
        <sz val="10"/>
        <rFont val="DejaVu Sans"/>
        <family val="2"/>
      </rPr>
      <t xml:space="preserve">테사르 </t>
    </r>
    <r>
      <rPr>
        <sz val="10"/>
        <rFont val="DejaVu Sans"/>
        <family val="2"/>
        <charset val="1"/>
      </rPr>
      <t xml:space="preserve">(TESSAR)</t>
    </r>
  </si>
  <si>
    <t xml:space="preserve">2026.5.10</t>
  </si>
  <si>
    <r>
      <rPr>
        <sz val="10"/>
        <rFont val="Arial"/>
        <family val="0"/>
        <charset val="1"/>
      </rPr>
      <t xml:space="preserve">3</t>
    </r>
    <r>
      <rPr>
        <sz val="10"/>
        <rFont val="DejaVu Sans"/>
        <family val="2"/>
      </rPr>
      <t xml:space="preserve">인조 버추얼 록밴드</t>
    </r>
    <r>
      <rPr>
        <sz val="10"/>
        <rFont val="Arial"/>
        <family val="0"/>
        <charset val="1"/>
      </rPr>
      <t xml:space="preserve">. </t>
    </r>
    <r>
      <rPr>
        <sz val="10"/>
        <rFont val="DejaVu Sans"/>
        <family val="2"/>
      </rPr>
      <t xml:space="preserve">월드컵 응원가</t>
    </r>
  </si>
  <si>
    <r>
      <rPr>
        <sz val="10"/>
        <rFont val="DejaVu Sans"/>
        <family val="2"/>
      </rPr>
      <t xml:space="preserve">플라네타</t>
    </r>
    <r>
      <rPr>
        <sz val="10"/>
        <rFont val="DejaVu Sans"/>
        <family val="2"/>
        <charset val="1"/>
      </rPr>
      <t xml:space="preserve">-</t>
    </r>
    <r>
      <rPr>
        <sz val="10"/>
        <rFont val="DejaVu Sans"/>
        <family val="2"/>
      </rPr>
      <t xml:space="preserve">데네브</t>
    </r>
  </si>
  <si>
    <t xml:space="preserve">신규 론칭</t>
  </si>
  <si>
    <t xml:space="preserve">2026.5.30</t>
  </si>
  <si>
    <r>
      <rPr>
        <sz val="10"/>
        <rFont val="DejaVu Sans"/>
        <family val="2"/>
      </rPr>
      <t xml:space="preserve">치지직 기반 </t>
    </r>
    <r>
      <rPr>
        <sz val="10"/>
        <rFont val="DejaVu Sans"/>
        <family val="2"/>
        <charset val="1"/>
      </rPr>
      <t xml:space="preserve">1</t>
    </r>
    <r>
      <rPr>
        <sz val="10"/>
        <rFont val="DejaVu Sans"/>
        <family val="2"/>
      </rPr>
      <t xml:space="preserve">기 유닛 </t>
    </r>
    <r>
      <rPr>
        <sz val="10"/>
        <rFont val="DejaVu Sans"/>
        <family val="2"/>
        <charset val="1"/>
      </rPr>
      <t xml:space="preserve">4</t>
    </r>
    <r>
      <rPr>
        <sz val="10"/>
        <rFont val="DejaVu Sans"/>
        <family val="2"/>
      </rPr>
      <t xml:space="preserve">인</t>
    </r>
  </si>
  <si>
    <r>
      <rPr>
        <sz val="10"/>
        <rFont val="DejaVu Sans"/>
        <family val="2"/>
      </rPr>
      <t xml:space="preserve">걸즈원 </t>
    </r>
    <r>
      <rPr>
        <sz val="10"/>
        <rFont val="DejaVu Sans"/>
        <family val="2"/>
        <charset val="1"/>
      </rPr>
      <t xml:space="preserve">(GIRLZONE)</t>
    </r>
  </si>
  <si>
    <t xml:space="preserve">완전체 완성</t>
  </si>
  <si>
    <t xml:space="preserve">2026.3</t>
  </si>
  <si>
    <r>
      <rPr>
        <sz val="10"/>
        <rFont val="Arial"/>
        <family val="0"/>
        <charset val="1"/>
      </rPr>
      <t xml:space="preserve">SOOP </t>
    </r>
    <r>
      <rPr>
        <sz val="10"/>
        <rFont val="DejaVu Sans"/>
        <family val="2"/>
      </rPr>
      <t xml:space="preserve">기반 </t>
    </r>
    <r>
      <rPr>
        <sz val="10"/>
        <rFont val="Arial"/>
        <family val="0"/>
        <charset val="1"/>
      </rPr>
      <t xml:space="preserve">7</t>
    </r>
    <r>
      <rPr>
        <sz val="10"/>
        <rFont val="DejaVu Sans"/>
        <family val="2"/>
      </rPr>
      <t xml:space="preserve">개국 </t>
    </r>
    <r>
      <rPr>
        <sz val="10"/>
        <rFont val="Arial"/>
        <family val="0"/>
        <charset val="1"/>
      </rPr>
      <t xml:space="preserve">9</t>
    </r>
    <r>
      <rPr>
        <sz val="10"/>
        <rFont val="DejaVu Sans"/>
        <family val="2"/>
      </rPr>
      <t xml:space="preserve">인조 다국적</t>
    </r>
  </si>
  <si>
    <r>
      <rPr>
        <sz val="10"/>
        <rFont val="DejaVu Sans"/>
        <family val="2"/>
      </rPr>
      <t xml:space="preserve">데뷔곡 </t>
    </r>
    <r>
      <rPr>
        <sz val="10"/>
        <rFont val="DejaVu Sans"/>
        <family val="2"/>
        <charset val="1"/>
      </rPr>
      <t xml:space="preserve">HMMM 100</t>
    </r>
    <r>
      <rPr>
        <sz val="10"/>
        <rFont val="DejaVu Sans"/>
        <family val="2"/>
      </rPr>
      <t xml:space="preserve">만뷰 돌파</t>
    </r>
  </si>
  <si>
    <r>
      <rPr>
        <b val="true"/>
        <sz val="14"/>
        <color rgb="FFFFFFFF"/>
        <rFont val="DejaVu Sans"/>
        <family val="2"/>
      </rPr>
      <t xml:space="preserve">무소속</t>
    </r>
    <r>
      <rPr>
        <b val="true"/>
        <sz val="14"/>
        <color rgb="FFFFFFFF"/>
        <rFont val="DejaVu Sans"/>
        <family val="2"/>
        <charset val="1"/>
      </rPr>
      <t xml:space="preserve">(</t>
    </r>
    <r>
      <rPr>
        <b val="true"/>
        <sz val="14"/>
        <color rgb="FFFFFFFF"/>
        <rFont val="DejaVu Sans"/>
        <family val="2"/>
      </rPr>
      <t xml:space="preserve">개인세</t>
    </r>
    <r>
      <rPr>
        <b val="true"/>
        <sz val="14"/>
        <color rgb="FFFFFFFF"/>
        <rFont val="DejaVu Sans"/>
        <family val="2"/>
        <charset val="1"/>
      </rPr>
      <t xml:space="preserve">) </t>
    </r>
    <r>
      <rPr>
        <b val="true"/>
        <sz val="14"/>
        <color rgb="FFFFFFFF"/>
        <rFont val="DejaVu Sans"/>
        <family val="2"/>
      </rPr>
      <t xml:space="preserve">버추얼 — 등재 기준안 </t>
    </r>
    <r>
      <rPr>
        <b val="true"/>
        <sz val="14"/>
        <color rgb="FFFFFFFF"/>
        <rFont val="DejaVu Sans"/>
        <family val="2"/>
        <charset val="1"/>
      </rPr>
      <t xml:space="preserve">+ </t>
    </r>
    <r>
      <rPr>
        <b val="true"/>
        <sz val="14"/>
        <color rgb="FFFFFFFF"/>
        <rFont val="DejaVu Sans"/>
        <family val="2"/>
      </rPr>
      <t xml:space="preserve">시드</t>
    </r>
  </si>
  <si>
    <r>
      <rPr>
        <b val="true"/>
        <sz val="10"/>
        <rFont val="DejaVu Sans"/>
        <family val="2"/>
      </rPr>
      <t xml:space="preserve">▶ 왜 기준이 필요한가</t>
    </r>
    <r>
      <rPr>
        <b val="true"/>
        <sz val="10"/>
        <rFont val="DejaVu Sans"/>
        <family val="2"/>
        <charset val="1"/>
      </rPr>
      <t xml:space="preserve">: </t>
    </r>
    <r>
      <rPr>
        <b val="true"/>
        <sz val="10"/>
        <rFont val="DejaVu Sans"/>
        <family val="2"/>
      </rPr>
      <t xml:space="preserve">무소속</t>
    </r>
    <r>
      <rPr>
        <b val="true"/>
        <sz val="10"/>
        <rFont val="DejaVu Sans"/>
        <family val="2"/>
        <charset val="1"/>
      </rPr>
      <t xml:space="preserve">(</t>
    </r>
    <r>
      <rPr>
        <b val="true"/>
        <sz val="10"/>
        <rFont val="DejaVu Sans"/>
        <family val="2"/>
      </rPr>
      <t xml:space="preserve">개인세</t>
    </r>
    <r>
      <rPr>
        <b val="true"/>
        <sz val="10"/>
        <rFont val="DejaVu Sans"/>
        <family val="2"/>
        <charset val="1"/>
      </rPr>
      <t xml:space="preserve">) </t>
    </r>
    <r>
      <rPr>
        <b val="true"/>
        <sz val="10"/>
        <rFont val="DejaVu Sans"/>
        <family val="2"/>
      </rPr>
      <t xml:space="preserve">버추얼은 한국에만 수천 명 단위</t>
    </r>
    <r>
      <rPr>
        <b val="true"/>
        <sz val="10"/>
        <rFont val="DejaVu Sans"/>
        <family val="2"/>
        <charset val="1"/>
      </rPr>
      <t xml:space="preserve">(</t>
    </r>
    <r>
      <rPr>
        <b val="true"/>
        <sz val="10"/>
        <rFont val="DejaVu Sans"/>
        <family val="2"/>
      </rPr>
      <t xml:space="preserve">위키 개별 등재만 수백</t>
    </r>
    <r>
      <rPr>
        <b val="true"/>
        <sz val="10"/>
        <rFont val="DejaVu Sans"/>
        <family val="2"/>
        <charset val="1"/>
      </rPr>
      <t xml:space="preserve">). </t>
    </r>
    <r>
      <rPr>
        <b val="true"/>
        <sz val="10"/>
        <rFont val="DejaVu Sans"/>
        <family val="2"/>
      </rPr>
      <t xml:space="preserve">전수 불가 → 등재 기준 필요</t>
    </r>
    <r>
      <rPr>
        <b val="true"/>
        <sz val="10"/>
        <rFont val="DejaVu Sans"/>
        <family val="2"/>
        <charset val="1"/>
      </rPr>
      <t xml:space="preserve">.</t>
    </r>
  </si>
  <si>
    <r>
      <rPr>
        <b val="true"/>
        <sz val="10"/>
        <rFont val="DejaVu Sans"/>
        <family val="2"/>
      </rPr>
      <t xml:space="preserve">▶ 개인세 정의</t>
    </r>
    <r>
      <rPr>
        <b val="true"/>
        <sz val="10"/>
        <rFont val="DejaVu Sans"/>
        <family val="2"/>
        <charset val="1"/>
      </rPr>
      <t xml:space="preserve">(</t>
    </r>
    <r>
      <rPr>
        <b val="true"/>
        <sz val="10"/>
        <rFont val="DejaVu Sans"/>
        <family val="2"/>
      </rPr>
      <t xml:space="preserve">나무위키</t>
    </r>
    <r>
      <rPr>
        <b val="true"/>
        <sz val="10"/>
        <rFont val="DejaVu Sans"/>
        <family val="2"/>
        <charset val="1"/>
      </rPr>
      <t xml:space="preserve">): </t>
    </r>
    <r>
      <rPr>
        <b val="true"/>
        <sz val="10"/>
        <rFont val="DejaVu Sans"/>
        <family val="2"/>
      </rPr>
      <t xml:space="preserve">기획사 미소속</t>
    </r>
    <r>
      <rPr>
        <b val="true"/>
        <sz val="10"/>
        <rFont val="DejaVu Sans"/>
        <family val="2"/>
        <charset val="1"/>
      </rPr>
      <t xml:space="preserve">, </t>
    </r>
    <r>
      <rPr>
        <b val="true"/>
        <sz val="10"/>
        <rFont val="DejaVu Sans"/>
        <family val="2"/>
      </rPr>
      <t xml:space="preserve">또는 소속이어도 캐릭터</t>
    </r>
    <r>
      <rPr>
        <b val="true"/>
        <sz val="10"/>
        <rFont val="DejaVu Sans"/>
        <family val="2"/>
        <charset val="1"/>
      </rPr>
      <t xml:space="preserve">·</t>
    </r>
    <r>
      <rPr>
        <b val="true"/>
        <sz val="10"/>
        <rFont val="DejaVu Sans"/>
        <family val="2"/>
      </rPr>
      <t xml:space="preserve">아바타 소유권이 본인</t>
    </r>
    <r>
      <rPr>
        <b val="true"/>
        <sz val="10"/>
        <rFont val="DejaVu Sans"/>
        <family val="2"/>
        <charset val="1"/>
      </rPr>
      <t xml:space="preserve">+</t>
    </r>
    <r>
      <rPr>
        <b val="true"/>
        <sz val="10"/>
        <rFont val="DejaVu Sans"/>
        <family val="2"/>
      </rPr>
      <t xml:space="preserve">수익 비분배로 주도권이 본인에게 있는 경우</t>
    </r>
    <r>
      <rPr>
        <b val="true"/>
        <sz val="10"/>
        <rFont val="DejaVu Sans"/>
        <family val="2"/>
        <charset val="1"/>
      </rPr>
      <t xml:space="preserve">.</t>
    </r>
  </si>
  <si>
    <r>
      <rPr>
        <b val="true"/>
        <sz val="10"/>
        <rFont val="DejaVu Sans"/>
        <family val="2"/>
      </rPr>
      <t xml:space="preserve">▶ 권장 기준</t>
    </r>
    <r>
      <rPr>
        <b val="true"/>
        <sz val="10"/>
        <rFont val="DejaVu Sans"/>
        <family val="2"/>
        <charset val="1"/>
      </rPr>
      <t xml:space="preserve">(</t>
    </r>
    <r>
      <rPr>
        <b val="true"/>
        <sz val="10"/>
        <rFont val="DejaVu Sans"/>
        <family val="2"/>
      </rPr>
      <t xml:space="preserve">택</t>
    </r>
    <r>
      <rPr>
        <b val="true"/>
        <sz val="10"/>
        <rFont val="DejaVu Sans"/>
        <family val="2"/>
        <charset val="1"/>
      </rPr>
      <t xml:space="preserve">1 </t>
    </r>
    <r>
      <rPr>
        <b val="true"/>
        <sz val="10"/>
        <rFont val="DejaVu Sans"/>
        <family val="2"/>
      </rPr>
      <t xml:space="preserve">또는 조합</t>
    </r>
    <r>
      <rPr>
        <b val="true"/>
        <sz val="10"/>
        <rFont val="DejaVu Sans"/>
        <family val="2"/>
        <charset val="1"/>
      </rPr>
      <t xml:space="preserve">) — </t>
    </r>
    <r>
      <rPr>
        <b val="true"/>
        <sz val="10"/>
        <rFont val="DejaVu Sans"/>
        <family val="2"/>
      </rPr>
      <t xml:space="preserve">협회 전수조사용 기본값 제안</t>
    </r>
    <r>
      <rPr>
        <b val="true"/>
        <sz val="10"/>
        <rFont val="DejaVu Sans"/>
        <family val="2"/>
        <charset val="1"/>
      </rPr>
      <t xml:space="preserve">: [C] </t>
    </r>
    <r>
      <rPr>
        <b val="true"/>
        <sz val="10"/>
        <rFont val="DejaVu Sans"/>
        <family val="2"/>
      </rPr>
      <t xml:space="preserve">위키 등재  </t>
    </r>
    <r>
      <rPr>
        <b val="true"/>
        <sz val="10"/>
        <rFont val="DejaVu Sans"/>
        <family val="2"/>
        <charset val="1"/>
      </rPr>
      <t xml:space="preserve">OR  ([A] </t>
    </r>
    <r>
      <rPr>
        <b val="true"/>
        <sz val="10"/>
        <rFont val="DejaVu Sans"/>
        <family val="2"/>
      </rPr>
      <t xml:space="preserve">활동 </t>
    </r>
    <r>
      <rPr>
        <b val="true"/>
        <sz val="10"/>
        <rFont val="DejaVu Sans"/>
        <family val="2"/>
        <charset val="1"/>
      </rPr>
      <t xml:space="preserve">2</t>
    </r>
    <r>
      <rPr>
        <b val="true"/>
        <sz val="10"/>
        <rFont val="DejaVu Sans"/>
        <family val="2"/>
      </rPr>
      <t xml:space="preserve">년</t>
    </r>
    <r>
      <rPr>
        <b val="true"/>
        <sz val="10"/>
        <rFont val="DejaVu Sans"/>
        <family val="2"/>
        <charset val="1"/>
      </rPr>
      <t xml:space="preserve">+  AND  [B] 1</t>
    </r>
    <r>
      <rPr>
        <b val="true"/>
        <sz val="10"/>
        <rFont val="DejaVu Sans"/>
        <family val="2"/>
      </rPr>
      <t xml:space="preserve">만</t>
    </r>
    <r>
      <rPr>
        <b val="true"/>
        <sz val="10"/>
        <rFont val="DejaVu Sans"/>
        <family val="2"/>
        <charset val="1"/>
      </rPr>
      <t xml:space="preserve">+ </t>
    </r>
    <r>
      <rPr>
        <b val="true"/>
        <sz val="10"/>
        <rFont val="DejaVu Sans"/>
        <family val="2"/>
      </rPr>
      <t xml:space="preserve">팔로워</t>
    </r>
    <r>
      <rPr>
        <b val="true"/>
        <sz val="10"/>
        <rFont val="DejaVu Sans"/>
        <family val="2"/>
        <charset val="1"/>
      </rPr>
      <t xml:space="preserve">)</t>
    </r>
  </si>
  <si>
    <r>
      <rPr>
        <sz val="10"/>
        <rFont val="Arial"/>
        <family val="0"/>
        <charset val="1"/>
      </rPr>
      <t xml:space="preserve">    [A] </t>
    </r>
    <r>
      <rPr>
        <sz val="10"/>
        <rFont val="DejaVu Sans"/>
        <family val="2"/>
      </rPr>
      <t xml:space="preserve">활동 기간</t>
    </r>
    <r>
      <rPr>
        <sz val="10"/>
        <rFont val="Arial"/>
        <family val="0"/>
        <charset val="1"/>
      </rPr>
      <t xml:space="preserve">: </t>
    </r>
    <r>
      <rPr>
        <sz val="10"/>
        <rFont val="DejaVu Sans"/>
        <family val="2"/>
      </rPr>
      <t xml:space="preserve">데뷔 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년 이상</t>
    </r>
    <r>
      <rPr>
        <sz val="10"/>
        <rFont val="Arial"/>
        <family val="0"/>
        <charset val="1"/>
      </rPr>
      <t xml:space="preserve">(</t>
    </r>
    <r>
      <rPr>
        <sz val="10"/>
        <rFont val="DejaVu Sans"/>
        <family val="2"/>
      </rPr>
      <t xml:space="preserve">엄격</t>
    </r>
    <r>
      <rPr>
        <sz val="10"/>
        <rFont val="Arial"/>
        <family val="0"/>
        <charset val="1"/>
      </rPr>
      <t xml:space="preserve">: 3</t>
    </r>
    <r>
      <rPr>
        <sz val="10"/>
        <rFont val="DejaVu Sans"/>
        <family val="2"/>
      </rPr>
      <t xml:space="preserve">년</t>
    </r>
    <r>
      <rPr>
        <sz val="10"/>
        <rFont val="Arial"/>
        <family val="0"/>
        <charset val="1"/>
      </rPr>
      <t xml:space="preserve">+) — </t>
    </r>
    <r>
      <rPr>
        <sz val="10"/>
        <rFont val="DejaVu Sans"/>
        <family val="2"/>
      </rPr>
      <t xml:space="preserve">지속성 입증</t>
    </r>
  </si>
  <si>
    <r>
      <rPr>
        <sz val="10"/>
        <rFont val="Arial"/>
        <family val="0"/>
        <charset val="1"/>
      </rPr>
      <t xml:space="preserve">    [B] </t>
    </r>
    <r>
      <rPr>
        <sz val="10"/>
        <rFont val="DejaVu Sans"/>
        <family val="2"/>
      </rPr>
      <t xml:space="preserve">규모</t>
    </r>
    <r>
      <rPr>
        <sz val="10"/>
        <rFont val="Arial"/>
        <family val="0"/>
        <charset val="1"/>
      </rPr>
      <t xml:space="preserve">: </t>
    </r>
    <r>
      <rPr>
        <sz val="10"/>
        <rFont val="DejaVu Sans"/>
        <family val="2"/>
      </rPr>
      <t xml:space="preserve">유튜브 구독 또는 치지직</t>
    </r>
    <r>
      <rPr>
        <sz val="10"/>
        <rFont val="Arial"/>
        <family val="0"/>
        <charset val="1"/>
      </rPr>
      <t xml:space="preserve">/SOOP </t>
    </r>
    <r>
      <rPr>
        <sz val="10"/>
        <rFont val="DejaVu Sans"/>
        <family val="2"/>
      </rPr>
      <t xml:space="preserve">팔로워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만</t>
    </r>
    <r>
      <rPr>
        <sz val="10"/>
        <rFont val="Arial"/>
        <family val="0"/>
        <charset val="1"/>
      </rPr>
      <t xml:space="preserve">+ (</t>
    </r>
    <r>
      <rPr>
        <sz val="10"/>
        <rFont val="DejaVu Sans"/>
        <family val="2"/>
      </rPr>
      <t xml:space="preserve">단계화 가능</t>
    </r>
    <r>
      <rPr>
        <sz val="10"/>
        <rFont val="Arial"/>
        <family val="0"/>
        <charset val="1"/>
      </rPr>
      <t xml:space="preserve">: 1</t>
    </r>
    <r>
      <rPr>
        <sz val="10"/>
        <rFont val="DejaVu Sans"/>
        <family val="2"/>
      </rPr>
      <t xml:space="preserve">만 </t>
    </r>
    <r>
      <rPr>
        <sz val="10"/>
        <rFont val="Arial"/>
        <family val="0"/>
        <charset val="1"/>
      </rPr>
      <t xml:space="preserve">/ 3</t>
    </r>
    <r>
      <rPr>
        <sz val="10"/>
        <rFont val="DejaVu Sans"/>
        <family val="2"/>
      </rPr>
      <t xml:space="preserve">만 </t>
    </r>
    <r>
      <rPr>
        <sz val="10"/>
        <rFont val="Arial"/>
        <family val="0"/>
        <charset val="1"/>
      </rPr>
      <t xml:space="preserve">/ 5</t>
    </r>
    <r>
      <rPr>
        <sz val="10"/>
        <rFont val="DejaVu Sans"/>
        <family val="2"/>
      </rPr>
      <t xml:space="preserve">만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</si>
  <si>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    [C] </t>
    </r>
    <r>
      <rPr>
        <sz val="10"/>
        <rFont val="DejaVu Sans"/>
        <family val="2"/>
      </rPr>
      <t xml:space="preserve">등재성</t>
    </r>
    <r>
      <rPr>
        <sz val="10"/>
        <rFont val="Arial"/>
        <family val="0"/>
        <charset val="1"/>
      </rPr>
      <t xml:space="preserve">: </t>
    </r>
    <r>
      <rPr>
        <sz val="10"/>
        <rFont val="DejaVu Sans"/>
        <family val="2"/>
      </rPr>
      <t xml:space="preserve">나무위키</t>
    </r>
    <r>
      <rPr>
        <sz val="10"/>
        <rFont val="Arial"/>
        <family val="0"/>
        <charset val="1"/>
      </rPr>
      <t xml:space="preserve">·</t>
    </r>
    <r>
      <rPr>
        <sz val="10"/>
        <rFont val="DejaVu Sans"/>
        <family val="2"/>
      </rPr>
      <t xml:space="preserve">더위키 개별 문서 존재</t>
    </r>
  </si>
  <si>
    <r>
      <rPr>
        <sz val="10"/>
        <rFont val="Arial"/>
        <family val="0"/>
        <charset val="1"/>
      </rPr>
      <t xml:space="preserve">    [D] </t>
    </r>
    <r>
      <rPr>
        <sz val="10"/>
        <rFont val="DejaVu Sans"/>
        <family val="2"/>
      </rPr>
      <t xml:space="preserve">공적 활동</t>
    </r>
    <r>
      <rPr>
        <sz val="10"/>
        <rFont val="Arial"/>
        <family val="0"/>
        <charset val="1"/>
      </rPr>
      <t xml:space="preserve">: </t>
    </r>
    <r>
      <rPr>
        <sz val="10"/>
        <rFont val="DejaVu Sans"/>
        <family val="2"/>
      </rPr>
      <t xml:space="preserve">음원 발매 </t>
    </r>
    <r>
      <rPr>
        <sz val="10"/>
        <rFont val="Arial"/>
        <family val="0"/>
        <charset val="1"/>
      </rPr>
      <t xml:space="preserve">/ </t>
    </r>
    <r>
      <rPr>
        <sz val="10"/>
        <rFont val="DejaVu Sans"/>
        <family val="2"/>
      </rPr>
      <t xml:space="preserve">공중파</t>
    </r>
    <r>
      <rPr>
        <sz val="10"/>
        <rFont val="Arial"/>
        <family val="0"/>
        <charset val="1"/>
      </rPr>
      <t xml:space="preserve">·</t>
    </r>
    <r>
      <rPr>
        <sz val="10"/>
        <rFont val="DejaVu Sans"/>
        <family val="2"/>
      </rPr>
      <t xml:space="preserve">페스티벌 출연 </t>
    </r>
    <r>
      <rPr>
        <sz val="10"/>
        <rFont val="Arial"/>
        <family val="0"/>
        <charset val="1"/>
      </rPr>
      <t xml:space="preserve">/ </t>
    </r>
    <r>
      <rPr>
        <sz val="10"/>
        <rFont val="DejaVu Sans"/>
        <family val="2"/>
      </rPr>
      <t xml:space="preserve">언론 보도 이력 중 </t>
    </r>
    <r>
      <rPr>
        <sz val="10"/>
        <rFont val="Arial"/>
        <family val="0"/>
        <charset val="1"/>
      </rPr>
      <t xml:space="preserve">1+</t>
    </r>
  </si>
  <si>
    <r>
      <rPr>
        <sz val="10"/>
        <rFont val="Arial"/>
        <family val="0"/>
        <charset val="1"/>
      </rPr>
      <t xml:space="preserve">    [E] </t>
    </r>
    <r>
      <rPr>
        <sz val="10"/>
        <rFont val="DejaVu Sans"/>
        <family val="2"/>
      </rPr>
      <t xml:space="preserve">플랫폼 인증</t>
    </r>
    <r>
      <rPr>
        <sz val="10"/>
        <rFont val="Arial"/>
        <family val="0"/>
        <charset val="1"/>
      </rPr>
      <t xml:space="preserve">: </t>
    </r>
    <r>
      <rPr>
        <sz val="10"/>
        <rFont val="DejaVu Sans"/>
        <family val="2"/>
      </rPr>
      <t xml:space="preserve">치지직 파트너 </t>
    </r>
    <r>
      <rPr>
        <sz val="10"/>
        <rFont val="Arial"/>
        <family val="0"/>
        <charset val="1"/>
      </rPr>
      <t xml:space="preserve">· SOOP </t>
    </r>
    <r>
      <rPr>
        <sz val="10"/>
        <rFont val="DejaVu Sans"/>
        <family val="2"/>
      </rPr>
      <t xml:space="preserve">파트너</t>
    </r>
    <r>
      <rPr>
        <sz val="10"/>
        <rFont val="Arial"/>
        <family val="0"/>
        <charset val="1"/>
      </rPr>
      <t xml:space="preserve">BJ · </t>
    </r>
    <r>
      <rPr>
        <sz val="10"/>
        <rFont val="DejaVu Sans"/>
        <family val="2"/>
      </rPr>
      <t xml:space="preserve">유튜브 인증 등</t>
    </r>
  </si>
  <si>
    <r>
      <rPr>
        <b val="true"/>
        <sz val="10"/>
        <rFont val="DejaVu Sans"/>
        <family val="2"/>
      </rPr>
      <t xml:space="preserve">▶ 규모별 예상 건수</t>
    </r>
    <r>
      <rPr>
        <b val="true"/>
        <sz val="10"/>
        <rFont val="DejaVu Sans"/>
        <family val="2"/>
        <charset val="1"/>
      </rPr>
      <t xml:space="preserve">(</t>
    </r>
    <r>
      <rPr>
        <b val="true"/>
        <sz val="10"/>
        <rFont val="DejaVu Sans"/>
        <family val="2"/>
      </rPr>
      <t xml:space="preserve">대략</t>
    </r>
    <r>
      <rPr>
        <b val="true"/>
        <sz val="10"/>
        <rFont val="DejaVu Sans"/>
        <family val="2"/>
        <charset val="1"/>
      </rPr>
      <t xml:space="preserve">): </t>
    </r>
    <r>
      <rPr>
        <b val="true"/>
        <sz val="10"/>
        <rFont val="DejaVu Sans"/>
        <family val="2"/>
      </rPr>
      <t xml:space="preserve">위키등재만 ≈ 수백 </t>
    </r>
    <r>
      <rPr>
        <b val="true"/>
        <sz val="10"/>
        <rFont val="DejaVu Sans"/>
        <family val="2"/>
        <charset val="1"/>
      </rPr>
      <t xml:space="preserve">/ 1</t>
    </r>
    <r>
      <rPr>
        <b val="true"/>
        <sz val="10"/>
        <rFont val="DejaVu Sans"/>
        <family val="2"/>
      </rPr>
      <t xml:space="preserve">만</t>
    </r>
    <r>
      <rPr>
        <b val="true"/>
        <sz val="10"/>
        <rFont val="DejaVu Sans"/>
        <family val="2"/>
        <charset val="1"/>
      </rPr>
      <t xml:space="preserve">+ ≈ </t>
    </r>
    <r>
      <rPr>
        <b val="true"/>
        <sz val="10"/>
        <rFont val="DejaVu Sans"/>
        <family val="2"/>
      </rPr>
      <t xml:space="preserve">수백</t>
    </r>
    <r>
      <rPr>
        <b val="true"/>
        <sz val="10"/>
        <rFont val="DejaVu Sans"/>
        <family val="2"/>
        <charset val="1"/>
      </rPr>
      <t xml:space="preserve">~</t>
    </r>
    <r>
      <rPr>
        <b val="true"/>
        <sz val="10"/>
        <rFont val="DejaVu Sans"/>
        <family val="2"/>
      </rPr>
      <t xml:space="preserve">천 </t>
    </r>
    <r>
      <rPr>
        <b val="true"/>
        <sz val="10"/>
        <rFont val="DejaVu Sans"/>
        <family val="2"/>
        <charset val="1"/>
      </rPr>
      <t xml:space="preserve">/ 3</t>
    </r>
    <r>
      <rPr>
        <b val="true"/>
        <sz val="10"/>
        <rFont val="DejaVu Sans"/>
        <family val="2"/>
      </rPr>
      <t xml:space="preserve">만</t>
    </r>
    <r>
      <rPr>
        <b val="true"/>
        <sz val="10"/>
        <rFont val="DejaVu Sans"/>
        <family val="2"/>
        <charset val="1"/>
      </rPr>
      <t xml:space="preserve">+ ≈ </t>
    </r>
    <r>
      <rPr>
        <b val="true"/>
        <sz val="10"/>
        <rFont val="DejaVu Sans"/>
        <family val="2"/>
      </rPr>
      <t xml:space="preserve">수백 </t>
    </r>
    <r>
      <rPr>
        <b val="true"/>
        <sz val="10"/>
        <rFont val="DejaVu Sans"/>
        <family val="2"/>
        <charset val="1"/>
      </rPr>
      <t xml:space="preserve">/ 5</t>
    </r>
    <r>
      <rPr>
        <b val="true"/>
        <sz val="10"/>
        <rFont val="DejaVu Sans"/>
        <family val="2"/>
      </rPr>
      <t xml:space="preserve">만</t>
    </r>
    <r>
      <rPr>
        <b val="true"/>
        <sz val="10"/>
        <rFont val="DejaVu Sans"/>
        <family val="2"/>
        <charset val="1"/>
      </rPr>
      <t xml:space="preserve">+ ≈ 100 </t>
    </r>
    <r>
      <rPr>
        <b val="true"/>
        <sz val="10"/>
        <rFont val="DejaVu Sans"/>
        <family val="2"/>
      </rPr>
      <t xml:space="preserve">안팎 </t>
    </r>
    <r>
      <rPr>
        <b val="true"/>
        <sz val="10"/>
        <rFont val="DejaVu Sans"/>
        <family val="2"/>
        <charset val="1"/>
      </rPr>
      <t xml:space="preserve">(← </t>
    </r>
    <r>
      <rPr>
        <b val="true"/>
        <sz val="10"/>
        <rFont val="DejaVu Sans"/>
        <family val="2"/>
      </rPr>
      <t xml:space="preserve">가장 관리 용이</t>
    </r>
    <r>
      <rPr>
        <b val="true"/>
        <sz val="10"/>
        <rFont val="DejaVu Sans"/>
        <family val="2"/>
        <charset val="1"/>
      </rPr>
      <t xml:space="preserve">)</t>
    </r>
  </si>
  <si>
    <r>
      <rPr>
        <b val="true"/>
        <sz val="10"/>
        <rFont val="DejaVu Sans"/>
        <family val="2"/>
      </rPr>
      <t xml:space="preserve">▶ 아래 시드는 </t>
    </r>
    <r>
      <rPr>
        <b val="true"/>
        <sz val="10"/>
        <rFont val="DejaVu Sans"/>
        <family val="2"/>
        <charset val="1"/>
      </rPr>
      <t xml:space="preserve">'[C] </t>
    </r>
    <r>
      <rPr>
        <b val="true"/>
        <sz val="10"/>
        <rFont val="DejaVu Sans"/>
        <family val="2"/>
      </rPr>
      <t xml:space="preserve">위키 등재 </t>
    </r>
    <r>
      <rPr>
        <b val="true"/>
        <sz val="10"/>
        <rFont val="DejaVu Sans"/>
        <family val="2"/>
        <charset val="1"/>
      </rPr>
      <t xml:space="preserve">+ </t>
    </r>
    <r>
      <rPr>
        <b val="true"/>
        <sz val="10"/>
        <rFont val="DejaVu Sans"/>
        <family val="2"/>
      </rPr>
      <t xml:space="preserve">대표성</t>
    </r>
    <r>
      <rPr>
        <b val="true"/>
        <sz val="10"/>
        <rFont val="DejaVu Sans"/>
        <family val="2"/>
        <charset val="1"/>
      </rPr>
      <t xml:space="preserve">' </t>
    </r>
    <r>
      <rPr>
        <b val="true"/>
        <sz val="10"/>
        <rFont val="DejaVu Sans"/>
        <family val="2"/>
      </rPr>
      <t xml:space="preserve">기준의 예시이며 전수가 아님</t>
    </r>
    <r>
      <rPr>
        <b val="true"/>
        <sz val="10"/>
        <rFont val="DejaVu Sans"/>
        <family val="2"/>
        <charset val="1"/>
      </rPr>
      <t xml:space="preserve">. </t>
    </r>
    <r>
      <rPr>
        <b val="true"/>
        <sz val="10"/>
        <rFont val="DejaVu Sans"/>
        <family val="2"/>
      </rPr>
      <t xml:space="preserve">협회가 임계값 확정 후 행 추가하면 확장 가능</t>
    </r>
    <r>
      <rPr>
        <b val="true"/>
        <sz val="10"/>
        <rFont val="DejaVu Sans"/>
        <family val="2"/>
        <charset val="1"/>
      </rPr>
      <t xml:space="preserve">.</t>
    </r>
  </si>
  <si>
    <t xml:space="preserve">활동명</t>
  </si>
  <si>
    <r>
      <rPr>
        <b val="true"/>
        <sz val="10"/>
        <color rgb="FFFFFFFF"/>
        <rFont val="DejaVu Sans"/>
        <family val="2"/>
      </rPr>
      <t xml:space="preserve">데뷔</t>
    </r>
    <r>
      <rPr>
        <b val="true"/>
        <sz val="10"/>
        <color rgb="FFFFFFFF"/>
        <rFont val="DejaVu Sans"/>
        <family val="2"/>
        <charset val="1"/>
      </rPr>
      <t xml:space="preserve">/</t>
    </r>
    <r>
      <rPr>
        <b val="true"/>
        <sz val="10"/>
        <color rgb="FFFFFFFF"/>
        <rFont val="DejaVu Sans"/>
        <family val="2"/>
      </rPr>
      <t xml:space="preserve">전향</t>
    </r>
  </si>
  <si>
    <t xml:space="preserve">주 플랫폼</t>
  </si>
  <si>
    <t xml:space="preserve">주 콘텐츠</t>
  </si>
  <si>
    <r>
      <rPr>
        <b val="true"/>
        <sz val="10"/>
        <color rgb="FFFFFFFF"/>
        <rFont val="DejaVu Sans"/>
        <family val="2"/>
      </rPr>
      <t xml:space="preserve">규모</t>
    </r>
    <r>
      <rPr>
        <b val="true"/>
        <sz val="10"/>
        <color rgb="FFFFFFFF"/>
        <rFont val="DejaVu Sans"/>
        <family val="2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대략</t>
    </r>
    <r>
      <rPr>
        <b val="true"/>
        <sz val="10"/>
        <color rgb="FFFFFFFF"/>
        <rFont val="DejaVu Sans"/>
        <family val="2"/>
        <charset val="1"/>
      </rPr>
      <t xml:space="preserve">)</t>
    </r>
  </si>
  <si>
    <r>
      <rPr>
        <b val="true"/>
        <sz val="10"/>
        <color rgb="FFFFFFFF"/>
        <rFont val="DejaVu Sans"/>
        <family val="2"/>
      </rPr>
      <t xml:space="preserve">분류 주의</t>
    </r>
    <r>
      <rPr>
        <b val="true"/>
        <sz val="10"/>
        <color rgb="FFFFFFFF"/>
        <rFont val="DejaVu Sans"/>
        <family val="2"/>
        <charset val="1"/>
      </rPr>
      <t xml:space="preserve">·</t>
    </r>
    <r>
      <rPr>
        <b val="true"/>
        <sz val="10"/>
        <color rgb="FFFFFFFF"/>
        <rFont val="DejaVu Sans"/>
        <family val="2"/>
      </rPr>
      <t xml:space="preserve">비고</t>
    </r>
  </si>
  <si>
    <t xml:space="preserve">대월향</t>
  </si>
  <si>
    <r>
      <rPr>
        <sz val="10"/>
        <rFont val="Arial"/>
        <family val="0"/>
        <charset val="1"/>
      </rPr>
      <t xml:space="preserve">2018(</t>
    </r>
    <r>
      <rPr>
        <sz val="10"/>
        <rFont val="DejaVu Sans"/>
        <family val="2"/>
      </rPr>
      <t xml:space="preserve">버튜버 전향</t>
    </r>
    <r>
      <rPr>
        <sz val="10"/>
        <rFont val="Arial"/>
        <family val="0"/>
        <charset val="1"/>
      </rPr>
      <t xml:space="preserve">)</t>
    </r>
  </si>
  <si>
    <r>
      <rPr>
        <sz val="10"/>
        <rFont val="DejaVu Sans"/>
        <family val="2"/>
      </rPr>
      <t xml:space="preserve">유튜브</t>
    </r>
    <r>
      <rPr>
        <sz val="10"/>
        <rFont val="DejaVu Sans"/>
        <family val="2"/>
        <charset val="1"/>
      </rPr>
      <t xml:space="preserve">·</t>
    </r>
    <r>
      <rPr>
        <sz val="10"/>
        <rFont val="DejaVu Sans"/>
        <family val="2"/>
      </rPr>
      <t xml:space="preserve">트위치</t>
    </r>
  </si>
  <si>
    <r>
      <rPr>
        <sz val="10"/>
        <rFont val="Arial"/>
        <family val="0"/>
        <charset val="1"/>
      </rPr>
      <t xml:space="preserve">VRChat·</t>
    </r>
    <r>
      <rPr>
        <sz val="10"/>
        <rFont val="DejaVu Sans"/>
        <family val="2"/>
      </rPr>
      <t xml:space="preserve">종합게임</t>
    </r>
  </si>
  <si>
    <r>
      <rPr>
        <sz val="10"/>
        <rFont val="DejaVu Sans"/>
        <family val="2"/>
      </rPr>
      <t xml:space="preserve">유튜브 </t>
    </r>
    <r>
      <rPr>
        <sz val="10"/>
        <rFont val="DejaVu Sans"/>
        <family val="2"/>
        <charset val="1"/>
      </rPr>
      <t xml:space="preserve">~94</t>
    </r>
    <r>
      <rPr>
        <sz val="10"/>
        <rFont val="DejaVu Sans"/>
        <family val="2"/>
      </rPr>
      <t xml:space="preserve">만</t>
    </r>
    <r>
      <rPr>
        <sz val="10"/>
        <rFont val="DejaVu Sans"/>
        <family val="2"/>
        <charset val="1"/>
      </rPr>
      <t xml:space="preserve">(2023)</t>
    </r>
  </si>
  <si>
    <r>
      <rPr>
        <sz val="10"/>
        <rFont val="DejaVu Sans"/>
        <family val="2"/>
      </rPr>
      <t xml:space="preserve">국내 개인세 대표격</t>
    </r>
    <r>
      <rPr>
        <sz val="10"/>
        <rFont val="DejaVu Sans"/>
        <family val="2"/>
        <charset val="1"/>
      </rPr>
      <t xml:space="preserve">. </t>
    </r>
    <r>
      <rPr>
        <sz val="10"/>
        <rFont val="DejaVu Sans"/>
        <family val="2"/>
      </rPr>
      <t xml:space="preserve">영</t>
    </r>
    <r>
      <rPr>
        <sz val="10"/>
        <rFont val="DejaVu Sans"/>
        <family val="2"/>
        <charset val="1"/>
      </rPr>
      <t xml:space="preserve">·</t>
    </r>
    <r>
      <rPr>
        <sz val="10"/>
        <rFont val="DejaVu Sans"/>
        <family val="2"/>
      </rPr>
      <t xml:space="preserve">일 구사</t>
    </r>
    <r>
      <rPr>
        <sz val="10"/>
        <rFont val="DejaVu Sans"/>
        <family val="2"/>
        <charset val="1"/>
      </rPr>
      <t xml:space="preserve">. </t>
    </r>
    <r>
      <rPr>
        <sz val="10"/>
        <rFont val="DejaVu Sans"/>
        <family val="2"/>
      </rPr>
      <t xml:space="preserve">후에 </t>
    </r>
    <r>
      <rPr>
        <sz val="10"/>
        <rFont val="DejaVu Sans"/>
        <family val="2"/>
        <charset val="1"/>
      </rPr>
      <t xml:space="preserve">'</t>
    </r>
    <r>
      <rPr>
        <sz val="10"/>
        <rFont val="DejaVu Sans"/>
        <family val="2"/>
      </rPr>
      <t xml:space="preserve">블루점프 프로젝트</t>
    </r>
    <r>
      <rPr>
        <sz val="10"/>
        <rFont val="DejaVu Sans"/>
        <family val="2"/>
        <charset val="1"/>
      </rPr>
      <t xml:space="preserve">' </t>
    </r>
    <r>
      <rPr>
        <sz val="10"/>
        <rFont val="DejaVu Sans"/>
        <family val="2"/>
      </rPr>
      <t xml:space="preserve">기획</t>
    </r>
    <r>
      <rPr>
        <sz val="10"/>
        <rFont val="DejaVu Sans"/>
        <family val="2"/>
        <charset val="1"/>
      </rPr>
      <t xml:space="preserve">(</t>
    </r>
    <r>
      <rPr>
        <sz val="10"/>
        <rFont val="DejaVu Sans"/>
        <family val="2"/>
      </rPr>
      <t xml:space="preserve">스콘 협업</t>
    </r>
    <r>
      <rPr>
        <sz val="10"/>
        <rFont val="DejaVu Sans"/>
        <family val="2"/>
        <charset val="1"/>
      </rPr>
      <t xml:space="preserve">)</t>
    </r>
  </si>
  <si>
    <t xml:space="preserve">이플린</t>
  </si>
  <si>
    <t xml:space="preserve">2023.5</t>
  </si>
  <si>
    <r>
      <rPr>
        <sz val="10"/>
        <rFont val="DejaVu Sans"/>
        <family val="2"/>
      </rPr>
      <t xml:space="preserve">치지직</t>
    </r>
    <r>
      <rPr>
        <sz val="10"/>
        <rFont val="DejaVu Sans"/>
        <family val="2"/>
        <charset val="1"/>
      </rPr>
      <t xml:space="preserve">·</t>
    </r>
    <r>
      <rPr>
        <sz val="10"/>
        <rFont val="DejaVu Sans"/>
        <family val="2"/>
      </rPr>
      <t xml:space="preserve">유튜브</t>
    </r>
  </si>
  <si>
    <r>
      <rPr>
        <sz val="10"/>
        <rFont val="DejaVu Sans"/>
        <family val="2"/>
      </rPr>
      <t xml:space="preserve">원신</t>
    </r>
    <r>
      <rPr>
        <sz val="10"/>
        <rFont val="DejaVu Sans"/>
        <family val="2"/>
        <charset val="1"/>
      </rPr>
      <t xml:space="preserve">·</t>
    </r>
    <r>
      <rPr>
        <sz val="10"/>
        <rFont val="DejaVu Sans"/>
        <family val="2"/>
      </rPr>
      <t xml:space="preserve">젤다 등 게임</t>
    </r>
  </si>
  <si>
    <t xml:space="preserve">—</t>
  </si>
  <si>
    <t xml:space="preserve">게임 특화 개인세</t>
  </si>
  <si>
    <t xml:space="preserve">소록</t>
  </si>
  <si>
    <r>
      <rPr>
        <sz val="10"/>
        <rFont val="Arial"/>
        <family val="0"/>
        <charset val="1"/>
      </rPr>
      <t xml:space="preserve">2023.6 (</t>
    </r>
    <r>
      <rPr>
        <sz val="10"/>
        <rFont val="DejaVu Sans"/>
        <family val="2"/>
      </rPr>
      <t xml:space="preserve">방송 </t>
    </r>
    <r>
      <rPr>
        <sz val="10"/>
        <rFont val="Arial"/>
        <family val="0"/>
        <charset val="1"/>
      </rPr>
      <t xml:space="preserve">2021.7~)</t>
    </r>
  </si>
  <si>
    <t xml:space="preserve">치지직</t>
  </si>
  <si>
    <r>
      <rPr>
        <sz val="10"/>
        <rFont val="DejaVu Sans"/>
        <family val="2"/>
      </rPr>
      <t xml:space="preserve">게임</t>
    </r>
    <r>
      <rPr>
        <sz val="10"/>
        <rFont val="DejaVu Sans"/>
        <family val="2"/>
        <charset val="1"/>
      </rPr>
      <t xml:space="preserve">·</t>
    </r>
    <r>
      <rPr>
        <sz val="10"/>
        <rFont val="DejaVu Sans"/>
        <family val="2"/>
      </rPr>
      <t xml:space="preserve">잡담</t>
    </r>
  </si>
  <si>
    <r>
      <rPr>
        <sz val="10"/>
        <rFont val="DejaVu Sans"/>
        <family val="2"/>
      </rPr>
      <t xml:space="preserve">트위치 출신</t>
    </r>
    <r>
      <rPr>
        <sz val="10"/>
        <rFont val="DejaVu Sans"/>
        <family val="2"/>
        <charset val="1"/>
      </rPr>
      <t xml:space="preserve">, </t>
    </r>
    <r>
      <rPr>
        <sz val="10"/>
        <rFont val="DejaVu Sans"/>
        <family val="2"/>
      </rPr>
      <t xml:space="preserve">버추얼 전향</t>
    </r>
  </si>
  <si>
    <t xml:space="preserve">도라대장</t>
  </si>
  <si>
    <r>
      <rPr>
        <sz val="10"/>
        <rFont val="Arial"/>
        <family val="0"/>
        <charset val="1"/>
      </rPr>
      <t xml:space="preserve">2020.3 (</t>
    </r>
    <r>
      <rPr>
        <sz val="10"/>
        <rFont val="DejaVu Sans"/>
        <family val="2"/>
      </rPr>
      <t xml:space="preserve">도라선장</t>
    </r>
    <r>
      <rPr>
        <sz val="10"/>
        <rFont val="Arial"/>
        <family val="0"/>
        <charset val="1"/>
      </rPr>
      <t xml:space="preserve">)</t>
    </r>
  </si>
  <si>
    <t xml:space="preserve">종합</t>
  </si>
  <si>
    <r>
      <rPr>
        <sz val="10"/>
        <rFont val="DejaVu Sans"/>
        <family val="2"/>
      </rPr>
      <t xml:space="preserve">라이브루리 ↔ 개인세 왕복</t>
    </r>
    <r>
      <rPr>
        <sz val="10"/>
        <rFont val="DejaVu Sans"/>
        <family val="2"/>
        <charset val="1"/>
      </rPr>
      <t xml:space="preserve">, </t>
    </r>
    <r>
      <rPr>
        <sz val="10"/>
        <rFont val="DejaVu Sans"/>
        <family val="2"/>
      </rPr>
      <t xml:space="preserve">현재 개인세</t>
    </r>
    <r>
      <rPr>
        <sz val="10"/>
        <rFont val="DejaVu Sans"/>
        <family val="2"/>
        <charset val="1"/>
      </rPr>
      <t xml:space="preserve">. 2026.2 </t>
    </r>
    <r>
      <rPr>
        <sz val="10"/>
        <rFont val="DejaVu Sans"/>
        <family val="2"/>
      </rPr>
      <t xml:space="preserve">모델 변경 재데뷔</t>
    </r>
  </si>
  <si>
    <t xml:space="preserve">미치르 메르헨</t>
  </si>
  <si>
    <t xml:space="preserve">2023.12</t>
  </si>
  <si>
    <r>
      <rPr>
        <sz val="10"/>
        <rFont val="DejaVu Sans"/>
        <family val="2"/>
      </rPr>
      <t xml:space="preserve">잡담</t>
    </r>
    <r>
      <rPr>
        <sz val="10"/>
        <rFont val="DejaVu Sans"/>
        <family val="2"/>
        <charset val="1"/>
      </rPr>
      <t xml:space="preserve">·</t>
    </r>
    <r>
      <rPr>
        <sz val="10"/>
        <rFont val="DejaVu Sans"/>
        <family val="2"/>
      </rPr>
      <t xml:space="preserve">컨셉</t>
    </r>
  </si>
  <si>
    <r>
      <rPr>
        <sz val="10"/>
        <rFont val="Arial"/>
        <family val="0"/>
        <charset val="1"/>
      </rPr>
      <t xml:space="preserve">'</t>
    </r>
    <r>
      <rPr>
        <sz val="10"/>
        <rFont val="DejaVu Sans"/>
        <family val="2"/>
      </rPr>
      <t xml:space="preserve">대 메르헨 왕국 여왕</t>
    </r>
    <r>
      <rPr>
        <sz val="10"/>
        <rFont val="Arial"/>
        <family val="0"/>
        <charset val="1"/>
      </rPr>
      <t xml:space="preserve">' </t>
    </r>
    <r>
      <rPr>
        <sz val="10"/>
        <rFont val="DejaVu Sans"/>
        <family val="2"/>
      </rPr>
      <t xml:space="preserve">컨셉</t>
    </r>
  </si>
  <si>
    <t xml:space="preserve">큐에</t>
  </si>
  <si>
    <t xml:space="preserve">2021.6</t>
  </si>
  <si>
    <t xml:space="preserve">트위치→</t>
  </si>
  <si>
    <t xml:space="preserve">게임</t>
  </si>
  <si>
    <r>
      <rPr>
        <sz val="10"/>
        <rFont val="Arial"/>
        <family val="0"/>
        <charset val="1"/>
      </rPr>
      <t xml:space="preserve">2024.2 </t>
    </r>
    <r>
      <rPr>
        <sz val="10"/>
        <rFont val="DejaVu Sans"/>
        <family val="2"/>
      </rPr>
      <t xml:space="preserve">장기 휴식→</t>
    </r>
    <r>
      <rPr>
        <sz val="10"/>
        <rFont val="Arial"/>
        <family val="0"/>
        <charset val="1"/>
      </rPr>
      <t xml:space="preserve">2026.3 </t>
    </r>
    <r>
      <rPr>
        <sz val="10"/>
        <rFont val="DejaVu Sans"/>
        <family val="2"/>
      </rPr>
      <t xml:space="preserve">복귀</t>
    </r>
  </si>
  <si>
    <t xml:space="preserve">킹냥이</t>
  </si>
  <si>
    <r>
      <rPr>
        <sz val="10"/>
        <rFont val="Arial"/>
        <family val="0"/>
        <charset val="1"/>
      </rPr>
      <t xml:space="preserve">2022.10 (</t>
    </r>
    <r>
      <rPr>
        <sz val="10"/>
        <rFont val="DejaVu Sans"/>
        <family val="2"/>
      </rPr>
      <t xml:space="preserve">아프리카 이적</t>
    </r>
    <r>
      <rPr>
        <sz val="10"/>
        <rFont val="Arial"/>
        <family val="0"/>
        <charset val="1"/>
      </rPr>
      <t xml:space="preserve">)</t>
    </r>
  </si>
  <si>
    <t xml:space="preserve">SOOP</t>
  </si>
  <si>
    <r>
      <rPr>
        <sz val="10"/>
        <rFont val="DejaVu Sans"/>
        <family val="2"/>
      </rPr>
      <t xml:space="preserve">버추얼 크루 </t>
    </r>
    <r>
      <rPr>
        <sz val="10"/>
        <rFont val="DejaVu Sans"/>
        <family val="2"/>
        <charset val="1"/>
      </rPr>
      <t xml:space="preserve">'</t>
    </r>
    <r>
      <rPr>
        <sz val="10"/>
        <rFont val="DejaVu Sans"/>
        <family val="2"/>
      </rPr>
      <t xml:space="preserve">도파민</t>
    </r>
    <r>
      <rPr>
        <sz val="10"/>
        <rFont val="DejaVu Sans"/>
        <family val="2"/>
        <charset val="1"/>
      </rPr>
      <t xml:space="preserve">' </t>
    </r>
    <r>
      <rPr>
        <sz val="10"/>
        <rFont val="DejaVu Sans"/>
        <family val="2"/>
      </rPr>
      <t xml:space="preserve">결성</t>
    </r>
    <r>
      <rPr>
        <sz val="10"/>
        <rFont val="DejaVu Sans"/>
        <family val="2"/>
        <charset val="1"/>
      </rPr>
      <t xml:space="preserve">. ※</t>
    </r>
    <r>
      <rPr>
        <sz val="10"/>
        <rFont val="DejaVu Sans"/>
        <family val="2"/>
      </rPr>
      <t xml:space="preserve">크루 운영</t>
    </r>
    <r>
      <rPr>
        <sz val="10"/>
        <rFont val="DejaVu Sans"/>
        <family val="2"/>
        <charset val="1"/>
      </rPr>
      <t xml:space="preserve">=</t>
    </r>
    <r>
      <rPr>
        <sz val="10"/>
        <rFont val="DejaVu Sans"/>
        <family val="2"/>
      </rPr>
      <t xml:space="preserve">경계 사례</t>
    </r>
  </si>
  <si>
    <t xml:space="preserve">깅도이</t>
  </si>
  <si>
    <t xml:space="preserve">2018.2</t>
  </si>
  <si>
    <t xml:space="preserve">유튜브</t>
  </si>
  <si>
    <r>
      <rPr>
        <sz val="10"/>
        <rFont val="DejaVu Sans"/>
        <family val="2"/>
      </rPr>
      <t xml:space="preserve">로블록스</t>
    </r>
    <r>
      <rPr>
        <sz val="10"/>
        <rFont val="DejaVu Sans"/>
        <family val="2"/>
        <charset val="1"/>
      </rPr>
      <t xml:space="preserve">·</t>
    </r>
    <r>
      <rPr>
        <sz val="10"/>
        <rFont val="DejaVu Sans"/>
        <family val="2"/>
      </rPr>
      <t xml:space="preserve">키즈</t>
    </r>
  </si>
  <si>
    <r>
      <rPr>
        <sz val="10"/>
        <rFont val="DejaVu Sans"/>
        <family val="2"/>
      </rPr>
      <t xml:space="preserve">부계정 </t>
    </r>
    <r>
      <rPr>
        <sz val="10"/>
        <rFont val="DejaVu Sans"/>
        <family val="2"/>
        <charset val="1"/>
      </rPr>
      <t xml:space="preserve">'</t>
    </r>
    <r>
      <rPr>
        <sz val="10"/>
        <rFont val="DejaVu Sans"/>
        <family val="2"/>
      </rPr>
      <t xml:space="preserve">또또이</t>
    </r>
    <r>
      <rPr>
        <sz val="10"/>
        <rFont val="DejaVu Sans"/>
        <family val="2"/>
        <charset val="1"/>
      </rPr>
      <t xml:space="preserve">TV' </t>
    </r>
    <r>
      <rPr>
        <sz val="10"/>
        <rFont val="DejaVu Sans"/>
        <family val="2"/>
      </rPr>
      <t xml:space="preserve">운영</t>
    </r>
  </si>
  <si>
    <t xml:space="preserve">마왕루야</t>
  </si>
  <si>
    <r>
      <rPr>
        <sz val="10"/>
        <rFont val="DejaVu Sans"/>
        <family val="2"/>
      </rPr>
      <t xml:space="preserve">전직 아이돌 출신 버튜버</t>
    </r>
    <r>
      <rPr>
        <sz val="10"/>
        <rFont val="DejaVu Sans"/>
        <family val="2"/>
        <charset val="1"/>
      </rPr>
      <t xml:space="preserve">. ※</t>
    </r>
    <r>
      <rPr>
        <sz val="10"/>
        <rFont val="DejaVu Sans"/>
        <family val="2"/>
      </rPr>
      <t xml:space="preserve">데뷔연도 추가확인 필요</t>
    </r>
  </si>
  <si>
    <t xml:space="preserve">루모모</t>
  </si>
  <si>
    <r>
      <rPr>
        <sz val="10"/>
        <rFont val="Arial"/>
        <family val="0"/>
        <charset val="1"/>
      </rPr>
      <t xml:space="preserve">2020(</t>
    </r>
    <r>
      <rPr>
        <sz val="10"/>
        <rFont val="DejaVu Sans"/>
        <family val="2"/>
      </rPr>
      <t xml:space="preserve">버추얼 전향</t>
    </r>
    <r>
      <rPr>
        <sz val="10"/>
        <rFont val="Arial"/>
        <family val="0"/>
        <charset val="1"/>
      </rPr>
      <t xml:space="preserve">)</t>
    </r>
  </si>
  <si>
    <r>
      <rPr>
        <sz val="10"/>
        <rFont val="DejaVu Sans"/>
        <family val="2"/>
      </rPr>
      <t xml:space="preserve">게임</t>
    </r>
    <r>
      <rPr>
        <sz val="10"/>
        <rFont val="DejaVu Sans"/>
        <family val="2"/>
        <charset val="1"/>
      </rPr>
      <t xml:space="preserve">(LoL·FF14)</t>
    </r>
  </si>
  <si>
    <r>
      <rPr>
        <sz val="10"/>
        <rFont val="DejaVu Sans"/>
        <family val="2"/>
      </rPr>
      <t xml:space="preserve">일본 출신</t>
    </r>
    <r>
      <rPr>
        <sz val="10"/>
        <rFont val="DejaVu Sans"/>
        <family val="2"/>
        <charset val="1"/>
      </rPr>
      <t xml:space="preserve">, </t>
    </r>
    <r>
      <rPr>
        <sz val="10"/>
        <rFont val="DejaVu Sans"/>
        <family val="2"/>
      </rPr>
      <t xml:space="preserve">한국어 방송</t>
    </r>
    <r>
      <rPr>
        <sz val="10"/>
        <rFont val="DejaVu Sans"/>
        <family val="2"/>
        <charset val="1"/>
      </rPr>
      <t xml:space="preserve">. </t>
    </r>
    <r>
      <rPr>
        <sz val="10"/>
        <rFont val="DejaVu Sans"/>
        <family val="2"/>
      </rPr>
      <t xml:space="preserve">휴식</t>
    </r>
    <r>
      <rPr>
        <sz val="10"/>
        <rFont val="DejaVu Sans"/>
        <family val="2"/>
        <charset val="1"/>
      </rPr>
      <t xml:space="preserve">/</t>
    </r>
    <r>
      <rPr>
        <sz val="10"/>
        <rFont val="DejaVu Sans"/>
        <family val="2"/>
      </rPr>
      <t xml:space="preserve">복귀 반복 — 활동성 확인 필요</t>
    </r>
  </si>
  <si>
    <r>
      <rPr>
        <b val="true"/>
        <sz val="12"/>
        <rFont val="DejaVu Sans"/>
        <family val="2"/>
      </rPr>
      <t xml:space="preserve">개인세 수집 </t>
    </r>
    <r>
      <rPr>
        <b val="true"/>
        <sz val="12"/>
        <rFont val="DejaVu Sans"/>
        <family val="2"/>
        <charset val="1"/>
      </rPr>
      <t xml:space="preserve">PoC — </t>
    </r>
    <r>
      <rPr>
        <b val="true"/>
        <sz val="12"/>
        <rFont val="DejaVu Sans"/>
        <family val="2"/>
      </rPr>
      <t xml:space="preserve">나의 작은 버튜버 </t>
    </r>
    <r>
      <rPr>
        <b val="true"/>
        <sz val="12"/>
        <rFont val="DejaVu Sans"/>
        <family val="2"/>
        <charset val="1"/>
      </rPr>
      <t xml:space="preserve">API 657</t>
    </r>
    <r>
      <rPr>
        <b val="true"/>
        <sz val="12"/>
        <rFont val="DejaVu Sans"/>
        <family val="2"/>
      </rPr>
      <t xml:space="preserve">명 중 </t>
    </r>
    <r>
      <rPr>
        <b val="true"/>
        <sz val="12"/>
        <rFont val="DejaVu Sans"/>
        <family val="2"/>
        <charset val="1"/>
      </rPr>
      <t xml:space="preserve">3</t>
    </r>
    <r>
      <rPr>
        <b val="true"/>
        <sz val="12"/>
        <rFont val="DejaVu Sans"/>
        <family val="2"/>
      </rPr>
      <t xml:space="preserve">만</t>
    </r>
    <r>
      <rPr>
        <b val="true"/>
        <sz val="12"/>
        <rFont val="DejaVu Sans"/>
        <family val="2"/>
        <charset val="1"/>
      </rPr>
      <t xml:space="preserve">+ </t>
    </r>
    <r>
      <rPr>
        <b val="true"/>
        <sz val="12"/>
        <rFont val="DejaVu Sans"/>
        <family val="2"/>
      </rPr>
      <t xml:space="preserve">팔로워 </t>
    </r>
    <r>
      <rPr>
        <b val="true"/>
        <sz val="12"/>
        <rFont val="DejaVu Sans"/>
        <family val="2"/>
        <charset val="1"/>
      </rPr>
      <t xml:space="preserve">(</t>
    </r>
    <r>
      <rPr>
        <b val="true"/>
        <sz val="12"/>
        <rFont val="DejaVu Sans"/>
        <family val="2"/>
      </rPr>
      <t xml:space="preserve">수집일 </t>
    </r>
    <r>
      <rPr>
        <b val="true"/>
        <sz val="12"/>
        <rFont val="DejaVu Sans"/>
        <family val="2"/>
        <charset val="1"/>
      </rPr>
      <t xml:space="preserve">2026-06-06)</t>
    </r>
  </si>
  <si>
    <r>
      <rPr>
        <sz val="9"/>
        <color rgb="FF666666"/>
        <rFont val="DejaVu Sans"/>
        <family val="2"/>
      </rPr>
      <t xml:space="preserve">포함 임계값</t>
    </r>
    <r>
      <rPr>
        <sz val="9"/>
        <color rgb="FF666666"/>
        <rFont val="DejaVu Sans"/>
        <family val="2"/>
        <charset val="1"/>
      </rPr>
      <t xml:space="preserve">(</t>
    </r>
    <r>
      <rPr>
        <sz val="9"/>
        <color rgb="FF666666"/>
        <rFont val="DejaVu Sans"/>
        <family val="2"/>
      </rPr>
      <t xml:space="preserve">확정</t>
    </r>
    <r>
      <rPr>
        <sz val="9"/>
        <color rgb="FF666666"/>
        <rFont val="DejaVu Sans"/>
        <family val="2"/>
        <charset val="1"/>
      </rPr>
      <t xml:space="preserve">): 5</t>
    </r>
    <r>
      <rPr>
        <sz val="9"/>
        <color rgb="FF666666"/>
        <rFont val="DejaVu Sans"/>
        <family val="2"/>
      </rPr>
      <t xml:space="preserve">만</t>
    </r>
    <r>
      <rPr>
        <sz val="9"/>
        <color rgb="FF666666"/>
        <rFont val="DejaVu Sans"/>
        <family val="2"/>
        <charset val="1"/>
      </rPr>
      <t xml:space="preserve">+ OR </t>
    </r>
    <r>
      <rPr>
        <sz val="9"/>
        <color rgb="FF666666"/>
        <rFont val="DejaVu Sans"/>
        <family val="2"/>
      </rPr>
      <t xml:space="preserve">위키등재 → </t>
    </r>
    <r>
      <rPr>
        <sz val="9"/>
        <color rgb="FF666666"/>
        <rFont val="DejaVu Sans"/>
        <family val="2"/>
        <charset val="1"/>
      </rPr>
      <t xml:space="preserve">'5</t>
    </r>
    <r>
      <rPr>
        <sz val="9"/>
        <color rgb="FF666666"/>
        <rFont val="DejaVu Sans"/>
        <family val="2"/>
      </rPr>
      <t xml:space="preserve">만</t>
    </r>
    <r>
      <rPr>
        <sz val="9"/>
        <color rgb="FF666666"/>
        <rFont val="DejaVu Sans"/>
        <family val="2"/>
        <charset val="1"/>
      </rPr>
      <t xml:space="preserve">+'=</t>
    </r>
    <r>
      <rPr>
        <sz val="9"/>
        <color rgb="FF666666"/>
        <rFont val="DejaVu Sans"/>
        <family val="2"/>
      </rPr>
      <t xml:space="preserve">자동 포함 후보</t>
    </r>
    <r>
      <rPr>
        <sz val="9"/>
        <color rgb="FF666666"/>
        <rFont val="DejaVu Sans"/>
        <family val="2"/>
        <charset val="1"/>
      </rPr>
      <t xml:space="preserve">, '3</t>
    </r>
    <r>
      <rPr>
        <sz val="9"/>
        <color rgb="FF666666"/>
        <rFont val="DejaVu Sans"/>
        <family val="2"/>
      </rPr>
      <t xml:space="preserve">만</t>
    </r>
    <r>
      <rPr>
        <sz val="9"/>
        <color rgb="FF666666"/>
        <rFont val="DejaVu Sans"/>
        <family val="2"/>
        <charset val="1"/>
      </rPr>
      <t xml:space="preserve">~5</t>
    </r>
    <r>
      <rPr>
        <sz val="9"/>
        <color rgb="FF666666"/>
        <rFont val="DejaVu Sans"/>
        <family val="2"/>
      </rPr>
      <t xml:space="preserve">만</t>
    </r>
    <r>
      <rPr>
        <sz val="9"/>
        <color rgb="FF666666"/>
        <rFont val="DejaVu Sans"/>
        <family val="2"/>
        <charset val="1"/>
      </rPr>
      <t xml:space="preserve">'=</t>
    </r>
    <r>
      <rPr>
        <sz val="9"/>
        <color rgb="FF666666"/>
        <rFont val="DejaVu Sans"/>
        <family val="2"/>
      </rPr>
      <t xml:space="preserve">워치리스트</t>
    </r>
    <r>
      <rPr>
        <sz val="9"/>
        <color rgb="FF666666"/>
        <rFont val="DejaVu Sans"/>
        <family val="2"/>
        <charset val="1"/>
      </rPr>
      <t xml:space="preserve">(</t>
    </r>
    <r>
      <rPr>
        <sz val="9"/>
        <color rgb="FF666666"/>
        <rFont val="DejaVu Sans"/>
        <family val="2"/>
      </rPr>
      <t xml:space="preserve">위키등재 여부 확인 필요</t>
    </r>
    <r>
      <rPr>
        <sz val="9"/>
        <color rgb="FF666666"/>
        <rFont val="DejaVu Sans"/>
        <family val="2"/>
        <charset val="1"/>
      </rPr>
      <t xml:space="preserve">). </t>
    </r>
    <r>
      <rPr>
        <sz val="9"/>
        <color rgb="FF666666"/>
        <rFont val="DejaVu Sans"/>
        <family val="2"/>
      </rPr>
      <t xml:space="preserve">위키등재</t>
    </r>
    <r>
      <rPr>
        <sz val="9"/>
        <color rgb="FF666666"/>
        <rFont val="DejaVu Sans"/>
        <family val="2"/>
        <charset val="1"/>
      </rPr>
      <t xml:space="preserve">(C</t>
    </r>
    <r>
      <rPr>
        <sz val="9"/>
        <color rgb="FF666666"/>
        <rFont val="DejaVu Sans"/>
        <family val="2"/>
      </rPr>
      <t xml:space="preserve">축</t>
    </r>
    <r>
      <rPr>
        <sz val="9"/>
        <color rgb="FF666666"/>
        <rFont val="DejaVu Sans"/>
        <family val="2"/>
        <charset val="1"/>
      </rPr>
      <t xml:space="preserve">)·</t>
    </r>
    <r>
      <rPr>
        <sz val="9"/>
        <color rgb="FF666666"/>
        <rFont val="DejaVu Sans"/>
        <family val="2"/>
      </rPr>
      <t xml:space="preserve">소속은 미수집—후속 보강 대상</t>
    </r>
  </si>
  <si>
    <t xml:space="preserve">영문</t>
  </si>
  <si>
    <t xml:space="preserve">최대 팔로워</t>
  </si>
  <si>
    <t xml:space="preserve">전체 플랫폼</t>
  </si>
  <si>
    <t xml:space="preserve">데뷔일</t>
  </si>
  <si>
    <t xml:space="preserve">최근 라이브</t>
  </si>
  <si>
    <t xml:space="preserve">임계값 판정</t>
  </si>
  <si>
    <r>
      <rPr>
        <b val="true"/>
        <sz val="10"/>
        <color rgb="FFFFFFFF"/>
        <rFont val="DejaVu Sans"/>
        <family val="2"/>
      </rPr>
      <t xml:space="preserve">채널 </t>
    </r>
    <r>
      <rPr>
        <b val="true"/>
        <sz val="10"/>
        <color rgb="FFFFFFFF"/>
        <rFont val="DejaVu Sans"/>
        <family val="2"/>
        <charset val="1"/>
      </rPr>
      <t xml:space="preserve">URL</t>
    </r>
  </si>
  <si>
    <t xml:space="preserve">양아지</t>
  </si>
  <si>
    <t xml:space="preserve">youtube</t>
  </si>
  <si>
    <t xml:space="preserve">chzzk·youtube</t>
  </si>
  <si>
    <t xml:space="preserve">2017-12-22</t>
  </si>
  <si>
    <t xml:space="preserve">2026-06-05</t>
  </si>
  <si>
    <r>
      <rPr>
        <sz val="10"/>
        <rFont val="맑은 고딕"/>
        <family val="0"/>
        <charset val="1"/>
      </rPr>
      <t xml:space="preserve">5</t>
    </r>
    <r>
      <rPr>
        <sz val="10"/>
        <rFont val="DejaVu Sans"/>
        <family val="2"/>
      </rPr>
      <t xml:space="preserve">만</t>
    </r>
    <r>
      <rPr>
        <sz val="10"/>
        <rFont val="맑은 고딕"/>
        <family val="0"/>
        <charset val="1"/>
      </rPr>
      <t xml:space="preserve">+ </t>
    </r>
    <r>
      <rPr>
        <sz val="10"/>
        <rFont val="DejaVu Sans"/>
        <family val="2"/>
      </rPr>
      <t xml:space="preserve">포함</t>
    </r>
  </si>
  <si>
    <t xml:space="preserve">https://www.youtube.com/channel/UCmMxEFwIOMGGoThkmtZZOvQ</t>
  </si>
  <si>
    <t xml:space="preserve">향아치</t>
  </si>
  <si>
    <t xml:space="preserve">2022-03-20</t>
  </si>
  <si>
    <t xml:space="preserve">2026-06-04</t>
  </si>
  <si>
    <t xml:space="preserve">https://www.youtube.com/channel/UCQV6pkNkEGBpQXzCh4G19WQ</t>
  </si>
  <si>
    <t xml:space="preserve">쵸쵸우</t>
  </si>
  <si>
    <t xml:space="preserve">https://www.youtube.com/channel/UCzoP3s16B9hP7f_qIc6DReQ</t>
  </si>
  <si>
    <t xml:space="preserve">설백</t>
  </si>
  <si>
    <t xml:space="preserve">2026-06-06</t>
  </si>
  <si>
    <t xml:space="preserve">https://www.youtube.com/channel/UCbCQDFbLpkurWc4_0R5-pEA</t>
  </si>
  <si>
    <t xml:space="preserve">초깨비</t>
  </si>
  <si>
    <t xml:space="preserve">https://www.youtube.com/channel/UCZnrdNaOFqniv7qEEqQFvIg</t>
  </si>
  <si>
    <t xml:space="preserve">라디유</t>
  </si>
  <si>
    <t xml:space="preserve">2019-10-28</t>
  </si>
  <si>
    <t xml:space="preserve">https://www.youtube.com/channel/UC44QE3DVUuDrhUC5yp4zRYQ</t>
  </si>
  <si>
    <t xml:space="preserve">기령</t>
  </si>
  <si>
    <t xml:space="preserve">2021-12-17</t>
  </si>
  <si>
    <t xml:space="preserve">https://www.youtube.com/channel/UC1HOT8mt_oGse4J68_WAaWQ</t>
  </si>
  <si>
    <t xml:space="preserve">모잉</t>
  </si>
  <si>
    <t xml:space="preserve">2018-02-22</t>
  </si>
  <si>
    <t xml:space="preserve">https://www.youtube.com/channel/UCHzre37UF4o64HRhp-7CDzQ</t>
  </si>
  <si>
    <t xml:space="preserve">부쿠키</t>
  </si>
  <si>
    <t xml:space="preserve">2022-01-06</t>
  </si>
  <si>
    <t xml:space="preserve">https://www.youtube.com/channel/UCF-EktpAclL-5krISxgerDw</t>
  </si>
  <si>
    <t xml:space="preserve">앵보</t>
  </si>
  <si>
    <t xml:space="preserve">2020-02-21</t>
  </si>
  <si>
    <t xml:space="preserve">https://www.youtube.com/channel/UCnwA84tROxLzFSyUl7CI07A</t>
  </si>
  <si>
    <t xml:space="preserve">마레 플로스</t>
  </si>
  <si>
    <t xml:space="preserve">2022-02-13</t>
  </si>
  <si>
    <t xml:space="preserve">2026-06-03</t>
  </si>
  <si>
    <t xml:space="preserve">https://www.youtube.com/channel/UCYk95JQsXbgk5Vto4MvRh2g</t>
  </si>
  <si>
    <t xml:space="preserve">감 규 리</t>
  </si>
  <si>
    <t xml:space="preserve">2022-02-02</t>
  </si>
  <si>
    <t xml:space="preserve">https://www.youtube.com/channel/UCKkIXeVBdRv_eobk1dTAczg</t>
  </si>
  <si>
    <t xml:space="preserve">박도나</t>
  </si>
  <si>
    <t xml:space="preserve">2022-11-13</t>
  </si>
  <si>
    <t xml:space="preserve">https://www.youtube.com/channel/UC52nnTXLGl1ZZVQc-YXAKLQ</t>
  </si>
  <si>
    <t xml:space="preserve">빙하유</t>
  </si>
  <si>
    <t xml:space="preserve">https://www.youtube.com/channel/UCHdHTb5jgeH8jys5_Ebqsuw</t>
  </si>
  <si>
    <t xml:space="preserve">롤체고찌</t>
  </si>
  <si>
    <t xml:space="preserve">2025-09-20</t>
  </si>
  <si>
    <t xml:space="preserve">https://www.youtube.com/channel/UC1aBdmKvC6yAiq4xgPLOzKA</t>
  </si>
  <si>
    <r>
      <rPr>
        <sz val="10"/>
        <rFont val="DejaVu Sans"/>
        <family val="2"/>
      </rPr>
      <t xml:space="preserve">카토</t>
    </r>
    <r>
      <rPr>
        <sz val="10"/>
        <rFont val="DejaVu Sans"/>
        <family val="2"/>
        <charset val="1"/>
      </rPr>
      <t xml:space="preserve">kato</t>
    </r>
  </si>
  <si>
    <t xml:space="preserve">kato</t>
  </si>
  <si>
    <t xml:space="preserve">2022-08-14</t>
  </si>
  <si>
    <t xml:space="preserve">https://www.youtube.com/channel/UCPKYZNXOiBZZXnLeblQaM8A</t>
  </si>
  <si>
    <t xml:space="preserve">이무지</t>
  </si>
  <si>
    <t xml:space="preserve">2023-01-18</t>
  </si>
  <si>
    <t xml:space="preserve">https://www.youtube.com/channel/UCtKaWarbIgekUqjGV_uEw3A</t>
  </si>
  <si>
    <t xml:space="preserve">윤이제</t>
  </si>
  <si>
    <t xml:space="preserve">soop·youtube</t>
  </si>
  <si>
    <t xml:space="preserve">2023-11-25</t>
  </si>
  <si>
    <t xml:space="preserve">https://www.youtube.com/channel/UCI6GdrsqBTNRA_T5gMq9nBA</t>
  </si>
  <si>
    <t xml:space="preserve">큐랑</t>
  </si>
  <si>
    <t xml:space="preserve">2023-07-15</t>
  </si>
  <si>
    <t xml:space="preserve">2026-05-18</t>
  </si>
  <si>
    <t xml:space="preserve">https://www.youtube.com/channel/UCEgxPXTB2ahzMASjbOhCwQw</t>
  </si>
  <si>
    <r>
      <rPr>
        <sz val="10"/>
        <rFont val="DejaVu Sans"/>
        <family val="2"/>
      </rPr>
      <t xml:space="preserve">엘시</t>
    </r>
    <r>
      <rPr>
        <sz val="10"/>
        <rFont val="DejaVu Sans"/>
        <family val="2"/>
        <charset val="1"/>
      </rPr>
      <t xml:space="preserve">v</t>
    </r>
  </si>
  <si>
    <t xml:space="preserve">v</t>
  </si>
  <si>
    <t xml:space="preserve">2022-10-06</t>
  </si>
  <si>
    <t xml:space="preserve">https://www.youtube.com/channel/UCEMupHQqQ6UQfkyuunaAM-Q</t>
  </si>
  <si>
    <t xml:space="preserve">묭 이</t>
  </si>
  <si>
    <t xml:space="preserve">2018-07-02</t>
  </si>
  <si>
    <t xml:space="preserve">https://www.youtube.com/channel/UChQuOTY4qlCHvfHRqDR9P9A</t>
  </si>
  <si>
    <t xml:space="preserve">키미도리 메로</t>
  </si>
  <si>
    <t xml:space="preserve">2023-09-16</t>
  </si>
  <si>
    <t xml:space="preserve">https://www.youtube.com/channel/UCEuLCV70Fm4Ua3zn-261HhQ</t>
  </si>
  <si>
    <t xml:space="preserve">모라라</t>
  </si>
  <si>
    <t xml:space="preserve">chzzk</t>
  </si>
  <si>
    <t xml:space="preserve">2022-02-12</t>
  </si>
  <si>
    <t xml:space="preserve">https://chzzk.naver.com/6bd0bb97d31365e7834d8113bb01d889</t>
  </si>
  <si>
    <t xml:space="preserve">모치즈키 카에데</t>
  </si>
  <si>
    <t xml:space="preserve">2025-03-29</t>
  </si>
  <si>
    <t xml:space="preserve">https://www.youtube.com/channel/UCqhPc90p1J0o_GfEhhQhlbA</t>
  </si>
  <si>
    <r>
      <rPr>
        <sz val="10"/>
        <rFont val="DejaVu Sans"/>
        <family val="2"/>
      </rPr>
      <t xml:space="preserve">반님</t>
    </r>
    <r>
      <rPr>
        <sz val="10"/>
        <rFont val="DejaVu Sans"/>
        <family val="2"/>
        <charset val="1"/>
      </rPr>
      <t xml:space="preserve">l</t>
    </r>
  </si>
  <si>
    <t xml:space="preserve">l</t>
  </si>
  <si>
    <t xml:space="preserve">2019-12-13</t>
  </si>
  <si>
    <t xml:space="preserve">https://www.youtube.com/channel/UCj2qZQT1oF2MULq2MZMqu0w</t>
  </si>
  <si>
    <t xml:space="preserve">이로나묭 치카</t>
  </si>
  <si>
    <t xml:space="preserve">2024-09-07</t>
  </si>
  <si>
    <t xml:space="preserve">https://chzzk.naver.com/ec30975bd41d3179fe7734ddbf760acb</t>
  </si>
  <si>
    <t xml:space="preserve">츠밍</t>
  </si>
  <si>
    <t xml:space="preserve">2022-05-16</t>
  </si>
  <si>
    <t xml:space="preserve">https://www.youtube.com/channel/UCxiv0RT5rzfEIZ4zZFDMAtw</t>
  </si>
  <si>
    <t xml:space="preserve">모야지</t>
  </si>
  <si>
    <t xml:space="preserve">2023-08-13</t>
  </si>
  <si>
    <t xml:space="preserve">https://www.youtube.com/channel/UCMWXv0lfTyi2zjOSkW-OCkg</t>
  </si>
  <si>
    <t xml:space="preserve">이글콥</t>
  </si>
  <si>
    <t xml:space="preserve">2017-02-07</t>
  </si>
  <si>
    <r>
      <rPr>
        <sz val="10"/>
        <rFont val="맑은 고딕"/>
        <family val="0"/>
        <charset val="1"/>
      </rPr>
      <t xml:space="preserve">3</t>
    </r>
    <r>
      <rPr>
        <sz val="10"/>
        <rFont val="DejaVu Sans"/>
        <family val="2"/>
      </rPr>
      <t xml:space="preserve">만</t>
    </r>
    <r>
      <rPr>
        <sz val="10"/>
        <rFont val="맑은 고딕"/>
        <family val="0"/>
        <charset val="1"/>
      </rPr>
      <t xml:space="preserve">~5</t>
    </r>
    <r>
      <rPr>
        <sz val="10"/>
        <rFont val="DejaVu Sans"/>
        <family val="2"/>
      </rPr>
      <t xml:space="preserve">만 워치</t>
    </r>
  </si>
  <si>
    <t xml:space="preserve">https://chzzk.naver.com/eaf7b569c9992d0e57db0059eb5c0eeb</t>
  </si>
  <si>
    <t xml:space="preserve">유우양</t>
  </si>
  <si>
    <t xml:space="preserve">2016-11-16</t>
  </si>
  <si>
    <t xml:space="preserve">https://www.youtube.com/channel/UCfErRnESYXp86XRZVNZYK_g</t>
  </si>
  <si>
    <r>
      <rPr>
        <sz val="10"/>
        <rFont val="DejaVu Sans"/>
        <family val="2"/>
      </rPr>
      <t xml:space="preserve">류시호 </t>
    </r>
    <r>
      <rPr>
        <sz val="10"/>
        <rFont val="DejaVu Sans"/>
        <family val="2"/>
        <charset val="1"/>
      </rPr>
      <t xml:space="preserve">RyuSiho</t>
    </r>
  </si>
  <si>
    <t xml:space="preserve">RyuSiho</t>
  </si>
  <si>
    <t xml:space="preserve">2025-09-14</t>
  </si>
  <si>
    <t xml:space="preserve">https://chzzk.naver.com/f36320c432d9f06095ce2cfbbf681c26</t>
  </si>
  <si>
    <t xml:space="preserve">류채경</t>
  </si>
  <si>
    <t xml:space="preserve">2020-10-17</t>
  </si>
  <si>
    <t xml:space="preserve">https://www.youtube.com/channel/UCl9aA8d2GBzcMa4NG2_-L2A</t>
  </si>
  <si>
    <r>
      <rPr>
        <sz val="10"/>
        <rFont val="DejaVu Sans"/>
        <family val="2"/>
      </rPr>
      <t xml:space="preserve">이샤 </t>
    </r>
    <r>
      <rPr>
        <sz val="10"/>
        <rFont val="DejaVu Sans"/>
        <family val="2"/>
        <charset val="1"/>
      </rPr>
      <t xml:space="preserve">ISHA</t>
    </r>
  </si>
  <si>
    <t xml:space="preserve">ISHA</t>
  </si>
  <si>
    <t xml:space="preserve">2025-09-27</t>
  </si>
  <si>
    <t xml:space="preserve">https://chzzk.naver.com/d9c00ea08106b660e26abcd730e7d796</t>
  </si>
  <si>
    <r>
      <rPr>
        <sz val="10"/>
        <rFont val="DejaVu Sans"/>
        <family val="2"/>
      </rPr>
      <t xml:space="preserve">소히 </t>
    </r>
    <r>
      <rPr>
        <sz val="10"/>
        <rFont val="DejaVu Sans"/>
        <family val="2"/>
        <charset val="1"/>
      </rPr>
      <t xml:space="preserve">SOHEE</t>
    </r>
  </si>
  <si>
    <t xml:space="preserve">SOHEE</t>
  </si>
  <si>
    <t xml:space="preserve">2020-10-02</t>
  </si>
  <si>
    <t xml:space="preserve">https://www.youtube.com/channel/UChEejxuuRu15AaVBV5kkM0g</t>
  </si>
  <si>
    <r>
      <rPr>
        <sz val="10"/>
        <rFont val="맑은 고딕"/>
        <family val="0"/>
        <charset val="1"/>
      </rPr>
      <t xml:space="preserve">RED</t>
    </r>
    <r>
      <rPr>
        <sz val="10"/>
        <rFont val="DejaVu Sans"/>
        <family val="2"/>
      </rPr>
      <t xml:space="preserve">레드</t>
    </r>
  </si>
  <si>
    <t xml:space="preserve">RED</t>
  </si>
  <si>
    <t xml:space="preserve">2024-09-01</t>
  </si>
  <si>
    <t xml:space="preserve">https://chzzk.naver.com/a96cea2d2c39cec636ba8170c66a0510</t>
  </si>
  <si>
    <t xml:space="preserve">모 아</t>
  </si>
  <si>
    <t xml:space="preserve">2020-09-07</t>
  </si>
  <si>
    <t xml:space="preserve">https://www.youtube.com/channel/UCNHCPMgOqOYjk2O4ZkmVB9A</t>
  </si>
  <si>
    <t xml:space="preserve">샤르망</t>
  </si>
  <si>
    <t xml:space="preserve">soop</t>
  </si>
  <si>
    <t xml:space="preserve">2023-11-19</t>
  </si>
  <si>
    <t xml:space="preserve">https://ch.sooplive.co.kr/owozzz</t>
  </si>
  <si>
    <t xml:space="preserve">비몽♪</t>
  </si>
  <si>
    <t xml:space="preserve">2022-08-06</t>
  </si>
  <si>
    <t xml:space="preserve">https://www.youtube.com/channel/UCnWEtTLqxplJccIRh3sFjJg</t>
  </si>
  <si>
    <t xml:space="preserve">니니아</t>
  </si>
  <si>
    <t xml:space="preserve">2022-03-26</t>
  </si>
  <si>
    <t xml:space="preserve">https://chzzk.naver.com/f00f6d46ecc6d735b96ecf376b9e5212</t>
  </si>
  <si>
    <t xml:space="preserve">구슬요</t>
  </si>
  <si>
    <t xml:space="preserve">2021-07-24</t>
  </si>
  <si>
    <t xml:space="preserve">https://ch.sooplive.co.kr/beadyo97</t>
  </si>
  <si>
    <r>
      <rPr>
        <sz val="10"/>
        <rFont val="DejaVu Sans"/>
        <family val="2"/>
      </rPr>
      <t xml:space="preserve">밍턴</t>
    </r>
    <r>
      <rPr>
        <sz val="10"/>
        <rFont val="DejaVu Sans"/>
        <family val="2"/>
        <charset val="1"/>
      </rPr>
      <t xml:space="preserve">_</t>
    </r>
  </si>
  <si>
    <t xml:space="preserve">2021-07-19</t>
  </si>
  <si>
    <t xml:space="preserve">https://www.youtube.com/channel/UC1IX083pPBnLiRDxfYeKjcg</t>
  </si>
  <si>
    <t xml:space="preserve">니니♥♥♥</t>
  </si>
  <si>
    <t xml:space="preserve">https://ch.sooplive.co.kr/honeys2</t>
  </si>
  <si>
    <t xml:space="preserve">배비꼬</t>
  </si>
  <si>
    <t xml:space="preserve">2023-08-10</t>
  </si>
  <si>
    <t xml:space="preserve">https://www.youtube.com/channel/UCVlRspMebofH_Af90wGgUFA</t>
  </si>
  <si>
    <t xml:space="preserve">민네</t>
  </si>
  <si>
    <t xml:space="preserve">2023-07-06</t>
  </si>
  <si>
    <t xml:space="preserve">https://www.youtube.com/channel/UCutTrr9QN9qDjxPrtZvPlog</t>
  </si>
  <si>
    <t xml:space="preserve">얏따</t>
  </si>
  <si>
    <t xml:space="preserve">2026-05-31</t>
  </si>
  <si>
    <t xml:space="preserve">https://www.youtube.com/channel/UCtFCksyQzk_Ndb7s48Vp4OQ</t>
  </si>
  <si>
    <r>
      <rPr>
        <sz val="10"/>
        <rFont val="DejaVu Sans"/>
        <family val="2"/>
      </rPr>
      <t xml:space="preserve">난초</t>
    </r>
    <r>
      <rPr>
        <sz val="10"/>
        <rFont val="DejaVu Sans"/>
        <family val="2"/>
        <charset val="1"/>
      </rPr>
      <t xml:space="preserve">.</t>
    </r>
  </si>
  <si>
    <t xml:space="preserve">2018-11-22</t>
  </si>
  <si>
    <t xml:space="preserve">https://www.youtube.com/channel/UCl61LnY2hIbgxrRSXGUeKrA</t>
  </si>
  <si>
    <r>
      <rPr>
        <sz val="10"/>
        <rFont val="DejaVu Sans"/>
        <family val="2"/>
      </rPr>
      <t xml:space="preserve">사사</t>
    </r>
    <r>
      <rPr>
        <sz val="10"/>
        <rFont val="DejaVu Sans"/>
        <family val="2"/>
        <charset val="1"/>
      </rPr>
      <t xml:space="preserve">44</t>
    </r>
  </si>
  <si>
    <t xml:space="preserve">2018-12-24</t>
  </si>
  <si>
    <t xml:space="preserve">https://www.youtube.com/channel/UCdIT6_ySa4CDsc18iPUfmpQ</t>
  </si>
  <si>
    <r>
      <rPr>
        <sz val="10"/>
        <rFont val="DejaVu Sans"/>
        <family val="2"/>
      </rPr>
      <t xml:space="preserve">레아나 </t>
    </r>
    <r>
      <rPr>
        <sz val="10"/>
        <rFont val="DejaVu Sans"/>
        <family val="2"/>
        <charset val="1"/>
      </rPr>
      <t xml:space="preserve">Reana</t>
    </r>
  </si>
  <si>
    <t xml:space="preserve">Reana</t>
  </si>
  <si>
    <t xml:space="preserve">2018-12-28</t>
  </si>
  <si>
    <t xml:space="preserve">2026-06-01</t>
  </si>
  <si>
    <t xml:space="preserve">https://www.youtube.com/channel/UCL55fBj8__uGXLyukK0SvEQ</t>
  </si>
  <si>
    <t xml:space="preserve">이와</t>
  </si>
  <si>
    <t xml:space="preserve">2021-11-06</t>
  </si>
  <si>
    <t xml:space="preserve">https://www.youtube.com/channel/UClyh1xSrABqbItEr3dBJosQ</t>
  </si>
  <si>
    <r>
      <rPr>
        <sz val="10"/>
        <rFont val="DejaVu Sans"/>
        <family val="2"/>
      </rPr>
      <t xml:space="preserve">리유 </t>
    </r>
    <r>
      <rPr>
        <sz val="10"/>
        <rFont val="DejaVu Sans"/>
        <family val="2"/>
        <charset val="1"/>
      </rPr>
      <t xml:space="preserve">Re You</t>
    </r>
  </si>
  <si>
    <t xml:space="preserve">Re You</t>
  </si>
  <si>
    <t xml:space="preserve">2024-03-23</t>
  </si>
  <si>
    <t xml:space="preserve">https://www.youtube.com/channel/UCey1FitZjMj2Qc7xm-MpTlQ</t>
  </si>
  <si>
    <t xml:space="preserve">2019-11-18</t>
  </si>
  <si>
    <t xml:space="preserve">https://www.youtube.com/channel/UCLWHpq3DcZDRU6Nxajn89HA</t>
  </si>
  <si>
    <r>
      <rPr>
        <sz val="10"/>
        <rFont val="DejaVu Sans"/>
        <family val="2"/>
      </rPr>
      <t xml:space="preserve">새싹 </t>
    </r>
    <r>
      <rPr>
        <sz val="10"/>
        <rFont val="DejaVu Sans"/>
        <family val="2"/>
        <charset val="1"/>
      </rPr>
      <t xml:space="preserve">Saessack</t>
    </r>
  </si>
  <si>
    <t xml:space="preserve">Saessack</t>
  </si>
  <si>
    <t xml:space="preserve">2023-10-01</t>
  </si>
  <si>
    <t xml:space="preserve">https://chzzk.naver.com/2417b47685106ec21b79c8803b7f1ecf</t>
  </si>
  <si>
    <t xml:space="preserve">해블린</t>
  </si>
  <si>
    <t xml:space="preserve">2021-09-16</t>
  </si>
  <si>
    <t xml:space="preserve">https://chzzk.naver.com/e14259667937be6e561d28ab156718be</t>
  </si>
  <si>
    <r>
      <rPr>
        <sz val="10"/>
        <rFont val="DejaVu Sans"/>
        <family val="2"/>
      </rPr>
      <t xml:space="preserve">단즈</t>
    </r>
    <r>
      <rPr>
        <sz val="10"/>
        <rFont val="DejaVu Sans"/>
        <family val="2"/>
        <charset val="1"/>
      </rPr>
      <t xml:space="preserve">_</t>
    </r>
  </si>
  <si>
    <t xml:space="preserve">2019-09-29</t>
  </si>
  <si>
    <t xml:space="preserve">https://ch.sooplive.co.kr/danz59</t>
  </si>
  <si>
    <r>
      <rPr>
        <sz val="10"/>
        <rFont val="DejaVu Sans"/>
        <family val="2"/>
      </rPr>
      <t xml:space="preserve">미르</t>
    </r>
    <r>
      <rPr>
        <sz val="10"/>
        <rFont val="DejaVu Sans"/>
        <family val="2"/>
        <charset val="1"/>
      </rPr>
      <t xml:space="preserve">_MIR</t>
    </r>
  </si>
  <si>
    <t xml:space="preserve">MIR</t>
  </si>
  <si>
    <t xml:space="preserve">2022-10-26</t>
  </si>
  <si>
    <t xml:space="preserve">https://ch.sooplive.co.kr/alice427</t>
  </si>
  <si>
    <t xml:space="preserve">므엥이</t>
  </si>
  <si>
    <t xml:space="preserve">2023-05-23</t>
  </si>
  <si>
    <t xml:space="preserve">https://www.youtube.com/channel/UC7lbDCeOCeYC11Rt5B-ZNyQ</t>
  </si>
  <si>
    <t xml:space="preserve">티뭉</t>
  </si>
  <si>
    <t xml:space="preserve">2023-10-26</t>
  </si>
  <si>
    <t xml:space="preserve">https://chzzk.naver.com/26253bf7ed6b95832c40f4f43f6d049d</t>
  </si>
  <si>
    <t xml:space="preserve">집계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</si>
</sst>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DejaVu Sans"/>
      <family val="2"/>
    </font>
    <font>
      <b val="true"/>
      <sz val="14"/>
      <color rgb="FFFFFFFF"/>
      <name val="DejaVu Sans"/>
      <family val="2"/>
      <charset val="1"/>
    </font>
    <font>
      <i val="true"/>
      <sz val="8"/>
      <color rgb="FF666666"/>
      <name val="DejaVu Sans"/>
      <family val="2"/>
    </font>
    <font>
      <i val="true"/>
      <sz val="8"/>
      <color rgb="FF666666"/>
      <name val="DejaVu Sans"/>
      <family val="2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b val="true"/>
      <sz val="10"/>
      <color rgb="FFFFFFFF"/>
      <name val="DejaVu Sans"/>
      <family val="2"/>
      <charset val="1"/>
    </font>
    <font>
      <sz val="10"/>
      <name val="Arial"/>
      <family val="0"/>
      <charset val="1"/>
    </font>
    <font>
      <sz val="10"/>
      <name val="DejaVu Sans"/>
      <family val="2"/>
    </font>
    <font>
      <sz val="10"/>
      <name val="DejaVu Sans"/>
      <family val="2"/>
      <charset val="1"/>
    </font>
    <font>
      <sz val="10"/>
      <name val="Noto Sans CJK SC"/>
      <family val="2"/>
      <charset val="1"/>
    </font>
    <font>
      <b val="true"/>
      <sz val="10"/>
      <name val="DejaVu Sans"/>
      <family val="2"/>
    </font>
    <font>
      <b val="true"/>
      <sz val="10"/>
      <name val="DejaVu Sans"/>
      <family val="2"/>
      <charset val="1"/>
    </font>
    <font>
      <b val="true"/>
      <sz val="14"/>
      <color rgb="FFFFFFFF"/>
      <name val="Arial"/>
      <family val="0"/>
      <charset val="1"/>
    </font>
    <font>
      <b val="true"/>
      <sz val="12"/>
      <name val="DejaVu Sans"/>
      <family val="2"/>
    </font>
    <font>
      <b val="true"/>
      <sz val="12"/>
      <name val="DejaVu Sans"/>
      <family val="2"/>
      <charset val="1"/>
    </font>
    <font>
      <sz val="9"/>
      <color rgb="FF666666"/>
      <name val="DejaVu Sans"/>
      <family val="2"/>
    </font>
    <font>
      <sz val="9"/>
      <color rgb="FF666666"/>
      <name val="DejaVu Sans"/>
      <family val="2"/>
      <charset val="1"/>
    </font>
    <font>
      <b val="true"/>
      <sz val="10"/>
      <color rgb="FFFFFFFF"/>
      <name val="맑은 고딕"/>
      <family val="0"/>
      <charset val="1"/>
    </font>
    <font>
      <sz val="10"/>
      <name val="맑은 고딕"/>
      <family val="0"/>
      <charset val="1"/>
    </font>
  </fonts>
  <fills count="15">
    <fill>
      <patternFill patternType="none"/>
    </fill>
    <fill>
      <patternFill patternType="gray125"/>
    </fill>
    <fill>
      <patternFill patternType="solid">
        <fgColor rgb="FF2D1B4E"/>
        <bgColor rgb="FF2F3B52"/>
      </patternFill>
    </fill>
    <fill>
      <patternFill patternType="solid">
        <fgColor rgb="FF6B3FA0"/>
        <bgColor rgb="FF993366"/>
      </patternFill>
    </fill>
    <fill>
      <patternFill patternType="solid">
        <fgColor rgb="FFF3E8FF"/>
        <bgColor rgb="FFFFE8F3"/>
      </patternFill>
    </fill>
    <fill>
      <patternFill patternType="solid">
        <fgColor rgb="FFE3F9E5"/>
        <bgColor rgb="FFEAF6FF"/>
      </patternFill>
    </fill>
    <fill>
      <patternFill patternType="solid">
        <fgColor rgb="FFEAEAEA"/>
        <bgColor rgb="FFE5EDFB"/>
      </patternFill>
    </fill>
    <fill>
      <patternFill patternType="solid">
        <fgColor rgb="FFFFF0E0"/>
        <bgColor rgb="FFFFF6DE"/>
      </patternFill>
    </fill>
    <fill>
      <patternFill patternType="solid">
        <fgColor rgb="FFFBE3E3"/>
        <bgColor rgb="FFFFE8F3"/>
      </patternFill>
    </fill>
    <fill>
      <patternFill patternType="solid">
        <fgColor rgb="FFFFE8F3"/>
        <bgColor rgb="FFFBE3E3"/>
      </patternFill>
    </fill>
    <fill>
      <patternFill patternType="solid">
        <fgColor rgb="FFE5EDFB"/>
        <bgColor rgb="FFEAEAEA"/>
      </patternFill>
    </fill>
    <fill>
      <patternFill patternType="solid">
        <fgColor rgb="FFEAF6FF"/>
        <bgColor rgb="FFE5EDFB"/>
      </patternFill>
    </fill>
    <fill>
      <patternFill patternType="solid">
        <fgColor rgb="FFFFF6DD"/>
        <bgColor rgb="FFFFF6DE"/>
      </patternFill>
    </fill>
    <fill>
      <patternFill patternType="solid">
        <fgColor rgb="FF2F3B52"/>
        <bgColor rgb="FF2D1B4E"/>
      </patternFill>
    </fill>
    <fill>
      <patternFill patternType="solid">
        <fgColor rgb="FFFFF6DE"/>
        <bgColor rgb="FFFFF6DD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D0C4E0"/>
      </left>
      <right style="thin">
        <color rgb="FFD0C4E0"/>
      </right>
      <top style="thin">
        <color rgb="FFD0C4E0"/>
      </top>
      <bottom style="thin">
        <color rgb="FFD0C4E0"/>
      </bottom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11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11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1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1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3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14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 patternType="solid">
          <fgColor rgb="FF6B3FA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AF6FF"/>
          <bgColor rgb="FF000000"/>
        </patternFill>
      </fill>
    </dxf>
    <dxf>
      <fill>
        <patternFill patternType="solid">
          <fgColor rgb="FFF3E8FF"/>
          <bgColor rgb="FF000000"/>
        </patternFill>
      </fill>
    </dxf>
    <dxf>
      <fill>
        <patternFill patternType="solid">
          <fgColor rgb="FFFFE8F3"/>
          <bgColor rgb="FF000000"/>
        </patternFill>
      </fill>
    </dxf>
    <dxf>
      <fill>
        <patternFill patternType="solid">
          <fgColor rgb="FFFFF0E0"/>
          <bgColor rgb="FF000000"/>
        </patternFill>
      </fill>
    </dxf>
    <dxf>
      <fill>
        <patternFill patternType="solid">
          <fgColor rgb="FFE3F9E5"/>
          <bgColor rgb="FF000000"/>
        </patternFill>
      </fill>
    </dxf>
    <dxf>
      <fill>
        <patternFill patternType="solid">
          <fgColor rgb="FFE5EDFB"/>
          <bgColor rgb="FF000000"/>
        </patternFill>
      </fill>
    </dxf>
    <dxf>
      <fill>
        <patternFill patternType="solid">
          <fgColor rgb="FFEAEAEA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fgColor rgb="FFFFF6DD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0E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0D0D0"/>
      <rgbColor rgb="FF808080"/>
      <rgbColor rgb="FF9999FF"/>
      <rgbColor rgb="FF6B3FA0"/>
      <rgbColor rgb="FFFFF6DD"/>
      <rgbColor rgb="FFEAF6FF"/>
      <rgbColor rgb="FF660066"/>
      <rgbColor rgb="FFFF8080"/>
      <rgbColor rgb="FF0066CC"/>
      <rgbColor rgb="FFD0C4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5EDFB"/>
      <rgbColor rgb="FFE3F9E5"/>
      <rgbColor rgb="FFFFF6DE"/>
      <rgbColor rgb="FFEAEAEA"/>
      <rgbColor rgb="FFFFE8F3"/>
      <rgbColor rgb="FFF3E8FF"/>
      <rgbColor rgb="FFFBE3E3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2D1B4E"/>
      <rgbColor rgb="FF2F3B5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2"/>
    <col collapsed="false" customWidth="true" hidden="false" outlineLevel="0" max="3" min="3" style="1" width="26"/>
    <col collapsed="false" customWidth="true" hidden="false" outlineLevel="0" max="4" min="4" style="1" width="38"/>
    <col collapsed="false" customWidth="true" hidden="false" outlineLevel="0" max="5" min="5" style="1" width="9"/>
    <col collapsed="false" customWidth="true" hidden="false" outlineLevel="0" max="6" min="6" style="1" width="15"/>
    <col collapsed="false" customWidth="true" hidden="false" outlineLevel="0" max="7" min="7" style="1" width="10"/>
    <col collapsed="false" customWidth="true" hidden="false" outlineLevel="0" max="8" min="8" style="1" width="60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5.7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3" customFormat="false" ht="21.75" hidden="false" customHeight="true" outlineLevel="0" collapsed="false">
      <c r="A3" s="4" t="s">
        <v>2</v>
      </c>
      <c r="B3" s="5" t="s">
        <v>3</v>
      </c>
      <c r="C3" s="5" t="s">
        <v>4</v>
      </c>
      <c r="D3" s="5" t="s">
        <v>5</v>
      </c>
      <c r="E3" s="5" t="s">
        <v>6</v>
      </c>
      <c r="F3" s="5" t="s">
        <v>7</v>
      </c>
      <c r="G3" s="5" t="s">
        <v>8</v>
      </c>
      <c r="H3" s="5" t="s">
        <v>9</v>
      </c>
    </row>
    <row r="4" customFormat="false" ht="15" hidden="false" customHeight="true" outlineLevel="0" collapsed="false">
      <c r="A4" s="6" t="n">
        <v>1</v>
      </c>
      <c r="B4" s="7" t="s">
        <v>10</v>
      </c>
      <c r="C4" s="8" t="s">
        <v>11</v>
      </c>
      <c r="D4" s="7" t="s">
        <v>12</v>
      </c>
      <c r="E4" s="6" t="s">
        <v>13</v>
      </c>
      <c r="F4" s="9" t="s">
        <v>14</v>
      </c>
      <c r="G4" s="10" t="s">
        <v>15</v>
      </c>
      <c r="H4" s="11" t="s">
        <v>16</v>
      </c>
    </row>
    <row r="5" customFormat="false" ht="15" hidden="false" customHeight="true" outlineLevel="0" collapsed="false">
      <c r="A5" s="6" t="n">
        <v>2</v>
      </c>
      <c r="B5" s="7" t="s">
        <v>17</v>
      </c>
      <c r="C5" s="8" t="s">
        <v>18</v>
      </c>
      <c r="D5" s="8" t="s">
        <v>19</v>
      </c>
      <c r="E5" s="6" t="s">
        <v>13</v>
      </c>
      <c r="F5" s="9" t="s">
        <v>14</v>
      </c>
      <c r="G5" s="12" t="s">
        <v>20</v>
      </c>
      <c r="H5" s="11" t="s">
        <v>21</v>
      </c>
    </row>
    <row r="6" customFormat="false" ht="15" hidden="false" customHeight="true" outlineLevel="0" collapsed="false">
      <c r="A6" s="6" t="n">
        <v>3</v>
      </c>
      <c r="B6" s="8" t="s">
        <v>22</v>
      </c>
      <c r="C6" s="7" t="s">
        <v>23</v>
      </c>
      <c r="D6" s="8" t="s">
        <v>24</v>
      </c>
      <c r="E6" s="6" t="s">
        <v>25</v>
      </c>
      <c r="F6" s="13" t="s">
        <v>26</v>
      </c>
      <c r="G6" s="10" t="s">
        <v>15</v>
      </c>
      <c r="H6" s="11" t="s">
        <v>27</v>
      </c>
    </row>
    <row r="7" customFormat="false" ht="15" hidden="false" customHeight="true" outlineLevel="0" collapsed="false">
      <c r="A7" s="6" t="n">
        <v>4</v>
      </c>
      <c r="B7" s="7" t="s">
        <v>28</v>
      </c>
      <c r="C7" s="8" t="s">
        <v>29</v>
      </c>
      <c r="D7" s="8" t="s">
        <v>30</v>
      </c>
      <c r="E7" s="6" t="s">
        <v>31</v>
      </c>
      <c r="F7" s="9" t="s">
        <v>14</v>
      </c>
      <c r="G7" s="10" t="s">
        <v>15</v>
      </c>
      <c r="H7" s="14" t="s">
        <v>32</v>
      </c>
    </row>
    <row r="8" customFormat="false" ht="15" hidden="false" customHeight="true" outlineLevel="0" collapsed="false">
      <c r="A8" s="6" t="n">
        <v>5</v>
      </c>
      <c r="B8" s="7" t="s">
        <v>33</v>
      </c>
      <c r="C8" s="8" t="s">
        <v>34</v>
      </c>
      <c r="D8" s="8" t="s">
        <v>35</v>
      </c>
      <c r="E8" s="6" t="s">
        <v>36</v>
      </c>
      <c r="F8" s="9" t="s">
        <v>14</v>
      </c>
      <c r="G8" s="15" t="s">
        <v>37</v>
      </c>
      <c r="H8" s="14" t="s">
        <v>38</v>
      </c>
    </row>
    <row r="9" customFormat="false" ht="15" hidden="false" customHeight="true" outlineLevel="0" collapsed="false">
      <c r="A9" s="6" t="n">
        <v>6</v>
      </c>
      <c r="B9" s="7" t="s">
        <v>39</v>
      </c>
      <c r="C9" s="8" t="s">
        <v>40</v>
      </c>
      <c r="D9" s="7" t="s">
        <v>41</v>
      </c>
      <c r="E9" s="6" t="s">
        <v>42</v>
      </c>
      <c r="F9" s="9" t="s">
        <v>14</v>
      </c>
      <c r="G9" s="10" t="s">
        <v>15</v>
      </c>
      <c r="H9" s="11" t="s">
        <v>43</v>
      </c>
    </row>
    <row r="10" customFormat="false" ht="15" hidden="false" customHeight="true" outlineLevel="0" collapsed="false">
      <c r="A10" s="6" t="n">
        <v>7</v>
      </c>
      <c r="B10" s="7" t="s">
        <v>44</v>
      </c>
      <c r="C10" s="8" t="s">
        <v>45</v>
      </c>
      <c r="D10" s="8" t="s">
        <v>46</v>
      </c>
      <c r="E10" s="6" t="s">
        <v>31</v>
      </c>
      <c r="F10" s="9" t="s">
        <v>14</v>
      </c>
      <c r="G10" s="10" t="s">
        <v>15</v>
      </c>
      <c r="H10" s="11" t="s">
        <v>47</v>
      </c>
    </row>
    <row r="11" customFormat="false" ht="15" hidden="false" customHeight="true" outlineLevel="0" collapsed="false">
      <c r="A11" s="6" t="n">
        <v>8</v>
      </c>
      <c r="B11" s="7" t="s">
        <v>48</v>
      </c>
      <c r="C11" s="8" t="s">
        <v>49</v>
      </c>
      <c r="D11" s="8" t="s">
        <v>50</v>
      </c>
      <c r="E11" s="6" t="s">
        <v>42</v>
      </c>
      <c r="F11" s="9" t="s">
        <v>14</v>
      </c>
      <c r="G11" s="10" t="s">
        <v>15</v>
      </c>
      <c r="H11" s="11" t="s">
        <v>51</v>
      </c>
    </row>
    <row r="12" customFormat="false" ht="15" hidden="false" customHeight="true" outlineLevel="0" collapsed="false">
      <c r="A12" s="6" t="n">
        <v>9</v>
      </c>
      <c r="B12" s="7" t="s">
        <v>52</v>
      </c>
      <c r="C12" s="8" t="s">
        <v>53</v>
      </c>
      <c r="D12" s="7" t="s">
        <v>54</v>
      </c>
      <c r="E12" s="6" t="s">
        <v>42</v>
      </c>
      <c r="F12" s="9" t="s">
        <v>14</v>
      </c>
      <c r="G12" s="10" t="s">
        <v>15</v>
      </c>
      <c r="H12" s="11" t="s">
        <v>55</v>
      </c>
    </row>
    <row r="13" customFormat="false" ht="15" hidden="false" customHeight="true" outlineLevel="0" collapsed="false">
      <c r="A13" s="6" t="n">
        <v>10</v>
      </c>
      <c r="B13" s="7" t="s">
        <v>56</v>
      </c>
      <c r="C13" s="8" t="s">
        <v>57</v>
      </c>
      <c r="D13" s="8" t="s">
        <v>58</v>
      </c>
      <c r="E13" s="6" t="s">
        <v>31</v>
      </c>
      <c r="F13" s="9" t="s">
        <v>14</v>
      </c>
      <c r="G13" s="10" t="s">
        <v>15</v>
      </c>
      <c r="H13" s="11" t="s">
        <v>59</v>
      </c>
    </row>
    <row r="14" customFormat="false" ht="15" hidden="false" customHeight="true" outlineLevel="0" collapsed="false">
      <c r="A14" s="6" t="n">
        <v>11</v>
      </c>
      <c r="B14" s="7" t="s">
        <v>60</v>
      </c>
      <c r="C14" s="8" t="s">
        <v>61</v>
      </c>
      <c r="D14" s="8" t="s">
        <v>62</v>
      </c>
      <c r="E14" s="6" t="s">
        <v>31</v>
      </c>
      <c r="F14" s="9" t="s">
        <v>14</v>
      </c>
      <c r="G14" s="10" t="s">
        <v>15</v>
      </c>
      <c r="H14" s="11" t="s">
        <v>63</v>
      </c>
    </row>
    <row r="15" customFormat="false" ht="15" hidden="false" customHeight="true" outlineLevel="0" collapsed="false">
      <c r="A15" s="6" t="n">
        <v>12</v>
      </c>
      <c r="B15" s="8" t="s">
        <v>64</v>
      </c>
      <c r="C15" s="7" t="s">
        <v>65</v>
      </c>
      <c r="D15" s="8" t="s">
        <v>66</v>
      </c>
      <c r="E15" s="6" t="s">
        <v>42</v>
      </c>
      <c r="F15" s="9" t="s">
        <v>14</v>
      </c>
      <c r="G15" s="10" t="s">
        <v>15</v>
      </c>
      <c r="H15" s="14" t="s">
        <v>67</v>
      </c>
    </row>
    <row r="16" customFormat="false" ht="15" hidden="false" customHeight="true" outlineLevel="0" collapsed="false">
      <c r="A16" s="6" t="n">
        <v>13</v>
      </c>
      <c r="B16" s="7" t="s">
        <v>68</v>
      </c>
      <c r="C16" s="8" t="s">
        <v>69</v>
      </c>
      <c r="D16" s="8" t="s">
        <v>70</v>
      </c>
      <c r="E16" s="6" t="s">
        <v>71</v>
      </c>
      <c r="F16" s="9" t="s">
        <v>14</v>
      </c>
      <c r="G16" s="10" t="s">
        <v>15</v>
      </c>
      <c r="H16" s="14" t="s">
        <v>72</v>
      </c>
    </row>
    <row r="17" customFormat="false" ht="15" hidden="false" customHeight="true" outlineLevel="0" collapsed="false">
      <c r="A17" s="6" t="n">
        <v>14</v>
      </c>
      <c r="B17" s="7" t="s">
        <v>73</v>
      </c>
      <c r="C17" s="8" t="s">
        <v>74</v>
      </c>
      <c r="D17" s="7" t="s">
        <v>75</v>
      </c>
      <c r="E17" s="6" t="s">
        <v>31</v>
      </c>
      <c r="F17" s="9" t="s">
        <v>14</v>
      </c>
      <c r="G17" s="10" t="s">
        <v>15</v>
      </c>
      <c r="H17" s="14" t="s">
        <v>76</v>
      </c>
    </row>
    <row r="18" customFormat="false" ht="15" hidden="false" customHeight="true" outlineLevel="0" collapsed="false">
      <c r="A18" s="6" t="n">
        <v>15</v>
      </c>
      <c r="B18" s="8" t="s">
        <v>77</v>
      </c>
      <c r="C18" s="7" t="s">
        <v>78</v>
      </c>
      <c r="D18" s="8" t="s">
        <v>79</v>
      </c>
      <c r="E18" s="6" t="s">
        <v>31</v>
      </c>
      <c r="F18" s="9" t="s">
        <v>14</v>
      </c>
      <c r="G18" s="10" t="s">
        <v>15</v>
      </c>
      <c r="H18" s="11" t="s">
        <v>80</v>
      </c>
    </row>
    <row r="19" customFormat="false" ht="15" hidden="false" customHeight="true" outlineLevel="0" collapsed="false">
      <c r="A19" s="6" t="n">
        <v>16</v>
      </c>
      <c r="B19" s="8" t="s">
        <v>81</v>
      </c>
      <c r="C19" s="7" t="s">
        <v>82</v>
      </c>
      <c r="D19" s="7" t="s">
        <v>83</v>
      </c>
      <c r="E19" s="6" t="s">
        <v>31</v>
      </c>
      <c r="F19" s="9" t="s">
        <v>14</v>
      </c>
      <c r="G19" s="10" t="s">
        <v>15</v>
      </c>
      <c r="H19" s="14" t="s">
        <v>84</v>
      </c>
    </row>
    <row r="20" customFormat="false" ht="15" hidden="false" customHeight="true" outlineLevel="0" collapsed="false">
      <c r="A20" s="6" t="n">
        <v>17</v>
      </c>
      <c r="B20" s="7" t="s">
        <v>85</v>
      </c>
      <c r="C20" s="8" t="s">
        <v>86</v>
      </c>
      <c r="D20" s="8" t="s">
        <v>87</v>
      </c>
      <c r="E20" s="6" t="s">
        <v>42</v>
      </c>
      <c r="F20" s="9" t="s">
        <v>14</v>
      </c>
      <c r="G20" s="10" t="s">
        <v>15</v>
      </c>
      <c r="H20" s="14" t="s">
        <v>88</v>
      </c>
    </row>
    <row r="21" customFormat="false" ht="15" hidden="false" customHeight="true" outlineLevel="0" collapsed="false">
      <c r="A21" s="6" t="n">
        <v>18</v>
      </c>
      <c r="B21" s="7" t="s">
        <v>89</v>
      </c>
      <c r="C21" s="8" t="s">
        <v>90</v>
      </c>
      <c r="D21" s="8" t="s">
        <v>91</v>
      </c>
      <c r="E21" s="6" t="s">
        <v>25</v>
      </c>
      <c r="F21" s="9" t="s">
        <v>14</v>
      </c>
      <c r="G21" s="10" t="s">
        <v>15</v>
      </c>
      <c r="H21" s="14" t="s">
        <v>92</v>
      </c>
    </row>
    <row r="22" customFormat="false" ht="29.25" hidden="false" customHeight="true" outlineLevel="0" collapsed="false">
      <c r="A22" s="6" t="n">
        <v>19</v>
      </c>
      <c r="B22" s="7" t="s">
        <v>93</v>
      </c>
      <c r="C22" s="8" t="s">
        <v>94</v>
      </c>
      <c r="D22" s="7" t="s">
        <v>95</v>
      </c>
      <c r="E22" s="6" t="s">
        <v>96</v>
      </c>
      <c r="F22" s="16" t="s">
        <v>97</v>
      </c>
      <c r="G22" s="17" t="s">
        <v>98</v>
      </c>
      <c r="H22" s="11" t="s">
        <v>99</v>
      </c>
    </row>
    <row r="23" customFormat="false" ht="29.25" hidden="false" customHeight="true" outlineLevel="0" collapsed="false">
      <c r="A23" s="6" t="n">
        <v>20</v>
      </c>
      <c r="B23" s="7" t="s">
        <v>100</v>
      </c>
      <c r="C23" s="8" t="s">
        <v>101</v>
      </c>
      <c r="D23" s="7" t="s">
        <v>102</v>
      </c>
      <c r="E23" s="6" t="s">
        <v>103</v>
      </c>
      <c r="F23" s="16" t="s">
        <v>97</v>
      </c>
      <c r="G23" s="10" t="s">
        <v>15</v>
      </c>
      <c r="H23" s="14" t="s">
        <v>104</v>
      </c>
    </row>
    <row r="24" customFormat="false" ht="15" hidden="false" customHeight="true" outlineLevel="0" collapsed="false">
      <c r="A24" s="6" t="n">
        <v>21</v>
      </c>
      <c r="B24" s="7" t="s">
        <v>105</v>
      </c>
      <c r="C24" s="8" t="s">
        <v>106</v>
      </c>
      <c r="D24" s="8" t="s">
        <v>107</v>
      </c>
      <c r="E24" s="6" t="s">
        <v>25</v>
      </c>
      <c r="F24" s="16" t="s">
        <v>97</v>
      </c>
      <c r="G24" s="10" t="s">
        <v>15</v>
      </c>
      <c r="H24" s="11" t="s">
        <v>108</v>
      </c>
    </row>
    <row r="25" customFormat="false" ht="15" hidden="false" customHeight="true" outlineLevel="0" collapsed="false">
      <c r="A25" s="6" t="n">
        <v>22</v>
      </c>
      <c r="B25" s="8" t="s">
        <v>109</v>
      </c>
      <c r="C25" s="7" t="s">
        <v>110</v>
      </c>
      <c r="D25" s="18" t="s">
        <v>111</v>
      </c>
      <c r="E25" s="6" t="s">
        <v>25</v>
      </c>
      <c r="F25" s="16" t="s">
        <v>97</v>
      </c>
      <c r="G25" s="12" t="s">
        <v>20</v>
      </c>
      <c r="H25" s="14" t="s">
        <v>112</v>
      </c>
    </row>
    <row r="26" customFormat="false" ht="15" hidden="false" customHeight="true" outlineLevel="0" collapsed="false">
      <c r="A26" s="6" t="n">
        <v>23</v>
      </c>
      <c r="B26" s="8" t="s">
        <v>113</v>
      </c>
      <c r="C26" s="7" t="s">
        <v>114</v>
      </c>
      <c r="D26" s="8" t="s">
        <v>115</v>
      </c>
      <c r="E26" s="6" t="s">
        <v>71</v>
      </c>
      <c r="F26" s="16" t="s">
        <v>97</v>
      </c>
      <c r="G26" s="12" t="s">
        <v>20</v>
      </c>
      <c r="H26" s="14" t="s">
        <v>116</v>
      </c>
    </row>
    <row r="27" customFormat="false" ht="15" hidden="false" customHeight="true" outlineLevel="0" collapsed="false">
      <c r="A27" s="6" t="n">
        <v>24</v>
      </c>
      <c r="B27" s="8" t="s">
        <v>117</v>
      </c>
      <c r="C27" s="7" t="s">
        <v>118</v>
      </c>
      <c r="D27" s="8" t="s">
        <v>119</v>
      </c>
      <c r="E27" s="6" t="s">
        <v>36</v>
      </c>
      <c r="F27" s="16" t="s">
        <v>97</v>
      </c>
      <c r="G27" s="12" t="s">
        <v>20</v>
      </c>
      <c r="H27" s="14" t="s">
        <v>120</v>
      </c>
    </row>
    <row r="28" customFormat="false" ht="15" hidden="false" customHeight="true" outlineLevel="0" collapsed="false">
      <c r="A28" s="6" t="n">
        <v>25</v>
      </c>
      <c r="B28" s="7" t="s">
        <v>121</v>
      </c>
      <c r="C28" s="8" t="s">
        <v>122</v>
      </c>
      <c r="D28" s="8" t="s">
        <v>123</v>
      </c>
      <c r="E28" s="6" t="s">
        <v>25</v>
      </c>
      <c r="F28" s="19" t="s">
        <v>124</v>
      </c>
      <c r="G28" s="10" t="s">
        <v>15</v>
      </c>
      <c r="H28" s="11" t="s">
        <v>125</v>
      </c>
    </row>
    <row r="29" customFormat="false" ht="15" hidden="false" customHeight="true" outlineLevel="0" collapsed="false">
      <c r="A29" s="6" t="n">
        <v>26</v>
      </c>
      <c r="B29" s="7" t="s">
        <v>126</v>
      </c>
      <c r="C29" s="8" t="s">
        <v>127</v>
      </c>
      <c r="D29" s="7" t="s">
        <v>126</v>
      </c>
      <c r="E29" s="6" t="s">
        <v>25</v>
      </c>
      <c r="F29" s="19" t="s">
        <v>124</v>
      </c>
      <c r="G29" s="10" t="s">
        <v>15</v>
      </c>
      <c r="H29" s="14" t="s">
        <v>128</v>
      </c>
    </row>
    <row r="30" customFormat="false" ht="15" hidden="false" customHeight="true" outlineLevel="0" collapsed="false">
      <c r="A30" s="6" t="n">
        <v>27</v>
      </c>
      <c r="B30" s="7" t="s">
        <v>129</v>
      </c>
      <c r="C30" s="8" t="s">
        <v>130</v>
      </c>
      <c r="D30" s="8" t="s">
        <v>131</v>
      </c>
      <c r="E30" s="6" t="s">
        <v>25</v>
      </c>
      <c r="F30" s="19" t="s">
        <v>124</v>
      </c>
      <c r="G30" s="10" t="s">
        <v>15</v>
      </c>
      <c r="H30" s="14" t="s">
        <v>132</v>
      </c>
    </row>
    <row r="31" customFormat="false" ht="15" hidden="false" customHeight="true" outlineLevel="0" collapsed="false">
      <c r="A31" s="6" t="n">
        <v>28</v>
      </c>
      <c r="B31" s="8" t="s">
        <v>133</v>
      </c>
      <c r="C31" s="7" t="s">
        <v>134</v>
      </c>
      <c r="D31" s="8" t="s">
        <v>133</v>
      </c>
      <c r="E31" s="6" t="s">
        <v>25</v>
      </c>
      <c r="F31" s="19" t="s">
        <v>124</v>
      </c>
      <c r="G31" s="10" t="s">
        <v>15</v>
      </c>
      <c r="H31" s="14" t="s">
        <v>135</v>
      </c>
    </row>
    <row r="32" customFormat="false" ht="15" hidden="false" customHeight="true" outlineLevel="0" collapsed="false">
      <c r="A32" s="6" t="n">
        <v>29</v>
      </c>
      <c r="B32" s="8" t="s">
        <v>136</v>
      </c>
      <c r="C32" s="7" t="s">
        <v>137</v>
      </c>
      <c r="D32" s="8" t="s">
        <v>136</v>
      </c>
      <c r="E32" s="6" t="s">
        <v>36</v>
      </c>
      <c r="F32" s="19" t="s">
        <v>124</v>
      </c>
      <c r="G32" s="10" t="s">
        <v>15</v>
      </c>
      <c r="H32" s="14" t="s">
        <v>138</v>
      </c>
    </row>
    <row r="33" customFormat="false" ht="15" hidden="false" customHeight="true" outlineLevel="0" collapsed="false">
      <c r="A33" s="6" t="n">
        <v>30</v>
      </c>
      <c r="B33" s="7" t="s">
        <v>139</v>
      </c>
      <c r="C33" s="8" t="s">
        <v>140</v>
      </c>
      <c r="D33" s="8" t="s">
        <v>141</v>
      </c>
      <c r="E33" s="6" t="s">
        <v>36</v>
      </c>
      <c r="F33" s="19" t="s">
        <v>124</v>
      </c>
      <c r="G33" s="10" t="s">
        <v>15</v>
      </c>
      <c r="H33" s="11" t="s">
        <v>142</v>
      </c>
    </row>
    <row r="34" customFormat="false" ht="15" hidden="false" customHeight="true" outlineLevel="0" collapsed="false">
      <c r="A34" s="6" t="n">
        <v>31</v>
      </c>
      <c r="B34" s="8" t="s">
        <v>143</v>
      </c>
      <c r="C34" s="7" t="s">
        <v>144</v>
      </c>
      <c r="D34" s="7" t="s">
        <v>145</v>
      </c>
      <c r="E34" s="6" t="s">
        <v>36</v>
      </c>
      <c r="F34" s="19" t="s">
        <v>124</v>
      </c>
      <c r="G34" s="10" t="s">
        <v>15</v>
      </c>
      <c r="H34" s="14" t="s">
        <v>146</v>
      </c>
    </row>
    <row r="35" customFormat="false" ht="15" hidden="false" customHeight="true" outlineLevel="0" collapsed="false">
      <c r="A35" s="6" t="n">
        <v>32</v>
      </c>
      <c r="B35" s="8" t="s">
        <v>147</v>
      </c>
      <c r="C35" s="7" t="s">
        <v>148</v>
      </c>
      <c r="D35" s="8" t="s">
        <v>147</v>
      </c>
      <c r="E35" s="6" t="s">
        <v>36</v>
      </c>
      <c r="F35" s="19" t="s">
        <v>124</v>
      </c>
      <c r="G35" s="10" t="s">
        <v>15</v>
      </c>
      <c r="H35" s="14" t="s">
        <v>149</v>
      </c>
    </row>
    <row r="36" customFormat="false" ht="15" hidden="false" customHeight="true" outlineLevel="0" collapsed="false">
      <c r="A36" s="6" t="n">
        <v>33</v>
      </c>
      <c r="B36" s="8" t="s">
        <v>150</v>
      </c>
      <c r="C36" s="7" t="s">
        <v>151</v>
      </c>
      <c r="D36" s="8" t="s">
        <v>150</v>
      </c>
      <c r="E36" s="6" t="s">
        <v>36</v>
      </c>
      <c r="F36" s="19" t="s">
        <v>124</v>
      </c>
      <c r="G36" s="10" t="s">
        <v>15</v>
      </c>
      <c r="H36" s="11"/>
    </row>
    <row r="37" customFormat="false" ht="15" hidden="false" customHeight="true" outlineLevel="0" collapsed="false">
      <c r="A37" s="6" t="n">
        <v>34</v>
      </c>
      <c r="B37" s="8" t="s">
        <v>152</v>
      </c>
      <c r="C37" s="7" t="s">
        <v>153</v>
      </c>
      <c r="D37" s="8" t="s">
        <v>154</v>
      </c>
      <c r="E37" s="6" t="s">
        <v>36</v>
      </c>
      <c r="F37" s="19" t="s">
        <v>124</v>
      </c>
      <c r="G37" s="10" t="s">
        <v>15</v>
      </c>
      <c r="H37" s="14" t="s">
        <v>155</v>
      </c>
    </row>
    <row r="38" customFormat="false" ht="15" hidden="false" customHeight="true" outlineLevel="0" collapsed="false">
      <c r="A38" s="6" t="n">
        <v>35</v>
      </c>
      <c r="B38" s="8" t="s">
        <v>156</v>
      </c>
      <c r="C38" s="7" t="s">
        <v>157</v>
      </c>
      <c r="D38" s="8" t="s">
        <v>156</v>
      </c>
      <c r="E38" s="6" t="s">
        <v>36</v>
      </c>
      <c r="F38" s="19" t="s">
        <v>124</v>
      </c>
      <c r="G38" s="10" t="s">
        <v>15</v>
      </c>
      <c r="H38" s="11"/>
    </row>
    <row r="39" customFormat="false" ht="15" hidden="false" customHeight="true" outlineLevel="0" collapsed="false">
      <c r="A39" s="6" t="n">
        <v>36</v>
      </c>
      <c r="B39" s="8" t="s">
        <v>158</v>
      </c>
      <c r="C39" s="7" t="s">
        <v>159</v>
      </c>
      <c r="D39" s="8" t="s">
        <v>160</v>
      </c>
      <c r="E39" s="6" t="s">
        <v>13</v>
      </c>
      <c r="F39" s="19" t="s">
        <v>124</v>
      </c>
      <c r="G39" s="10" t="s">
        <v>15</v>
      </c>
      <c r="H39" s="14" t="s">
        <v>161</v>
      </c>
    </row>
    <row r="40" customFormat="false" ht="15" hidden="false" customHeight="true" outlineLevel="0" collapsed="false">
      <c r="A40" s="6" t="n">
        <v>37</v>
      </c>
      <c r="B40" s="8" t="s">
        <v>162</v>
      </c>
      <c r="C40" s="7" t="s">
        <v>163</v>
      </c>
      <c r="D40" s="7" t="s">
        <v>164</v>
      </c>
      <c r="E40" s="6" t="s">
        <v>13</v>
      </c>
      <c r="F40" s="19" t="s">
        <v>124</v>
      </c>
      <c r="G40" s="10" t="s">
        <v>15</v>
      </c>
      <c r="H40" s="11"/>
    </row>
    <row r="41" customFormat="false" ht="15" hidden="false" customHeight="true" outlineLevel="0" collapsed="false">
      <c r="A41" s="6" t="n">
        <v>38</v>
      </c>
      <c r="B41" s="8" t="s">
        <v>165</v>
      </c>
      <c r="C41" s="7" t="s">
        <v>166</v>
      </c>
      <c r="D41" s="8" t="s">
        <v>165</v>
      </c>
      <c r="E41" s="6" t="s">
        <v>13</v>
      </c>
      <c r="F41" s="19" t="s">
        <v>124</v>
      </c>
      <c r="G41" s="10" t="s">
        <v>15</v>
      </c>
      <c r="H41" s="11"/>
    </row>
    <row r="42" customFormat="false" ht="15" hidden="false" customHeight="true" outlineLevel="0" collapsed="false">
      <c r="A42" s="6" t="n">
        <v>39</v>
      </c>
      <c r="B42" s="8" t="s">
        <v>167</v>
      </c>
      <c r="C42" s="7" t="s">
        <v>168</v>
      </c>
      <c r="D42" s="8" t="s">
        <v>167</v>
      </c>
      <c r="E42" s="6" t="s">
        <v>13</v>
      </c>
      <c r="F42" s="19" t="s">
        <v>124</v>
      </c>
      <c r="G42" s="10" t="s">
        <v>15</v>
      </c>
      <c r="H42" s="11"/>
    </row>
    <row r="43" customFormat="false" ht="15" hidden="false" customHeight="true" outlineLevel="0" collapsed="false">
      <c r="A43" s="6" t="n">
        <v>40</v>
      </c>
      <c r="B43" s="8" t="s">
        <v>169</v>
      </c>
      <c r="C43" s="7" t="s">
        <v>170</v>
      </c>
      <c r="D43" s="7" t="s">
        <v>164</v>
      </c>
      <c r="E43" s="6" t="s">
        <v>13</v>
      </c>
      <c r="F43" s="19" t="s">
        <v>124</v>
      </c>
      <c r="G43" s="10" t="s">
        <v>15</v>
      </c>
      <c r="H43" s="11"/>
    </row>
    <row r="44" customFormat="false" ht="15" hidden="false" customHeight="true" outlineLevel="0" collapsed="false">
      <c r="A44" s="6" t="n">
        <v>41</v>
      </c>
      <c r="B44" s="7" t="s">
        <v>171</v>
      </c>
      <c r="C44" s="8" t="s">
        <v>172</v>
      </c>
      <c r="D44" s="7" t="s">
        <v>171</v>
      </c>
      <c r="E44" s="6" t="s">
        <v>13</v>
      </c>
      <c r="F44" s="19" t="s">
        <v>124</v>
      </c>
      <c r="G44" s="10" t="s">
        <v>15</v>
      </c>
      <c r="H44" s="11"/>
    </row>
    <row r="45" customFormat="false" ht="15" hidden="false" customHeight="true" outlineLevel="0" collapsed="false">
      <c r="A45" s="6" t="n">
        <v>42</v>
      </c>
      <c r="B45" s="8" t="s">
        <v>173</v>
      </c>
      <c r="C45" s="7" t="s">
        <v>174</v>
      </c>
      <c r="D45" s="8" t="s">
        <v>173</v>
      </c>
      <c r="E45" s="6" t="s">
        <v>13</v>
      </c>
      <c r="F45" s="19" t="s">
        <v>124</v>
      </c>
      <c r="G45" s="10" t="s">
        <v>15</v>
      </c>
      <c r="H45" s="11"/>
    </row>
    <row r="46" customFormat="false" ht="15" hidden="false" customHeight="true" outlineLevel="0" collapsed="false">
      <c r="A46" s="6" t="n">
        <v>43</v>
      </c>
      <c r="B46" s="7" t="s">
        <v>175</v>
      </c>
      <c r="C46" s="8" t="s">
        <v>176</v>
      </c>
      <c r="D46" s="7" t="s">
        <v>175</v>
      </c>
      <c r="E46" s="6" t="s">
        <v>13</v>
      </c>
      <c r="F46" s="19" t="s">
        <v>124</v>
      </c>
      <c r="G46" s="10" t="s">
        <v>15</v>
      </c>
      <c r="H46" s="11"/>
    </row>
    <row r="47" customFormat="false" ht="15" hidden="false" customHeight="true" outlineLevel="0" collapsed="false">
      <c r="A47" s="6" t="n">
        <v>44</v>
      </c>
      <c r="B47" s="8" t="s">
        <v>177</v>
      </c>
      <c r="C47" s="7" t="s">
        <v>178</v>
      </c>
      <c r="D47" s="8" t="s">
        <v>177</v>
      </c>
      <c r="E47" s="6" t="s">
        <v>13</v>
      </c>
      <c r="F47" s="19" t="s">
        <v>124</v>
      </c>
      <c r="G47" s="10" t="s">
        <v>15</v>
      </c>
      <c r="H47" s="14" t="s">
        <v>179</v>
      </c>
    </row>
    <row r="48" customFormat="false" ht="15" hidden="false" customHeight="true" outlineLevel="0" collapsed="false">
      <c r="A48" s="6" t="n">
        <v>45</v>
      </c>
      <c r="B48" s="8" t="s">
        <v>180</v>
      </c>
      <c r="C48" s="7" t="s">
        <v>181</v>
      </c>
      <c r="D48" s="8" t="s">
        <v>180</v>
      </c>
      <c r="E48" s="6" t="s">
        <v>13</v>
      </c>
      <c r="F48" s="19" t="s">
        <v>124</v>
      </c>
      <c r="G48" s="10" t="s">
        <v>15</v>
      </c>
      <c r="H48" s="14" t="s">
        <v>182</v>
      </c>
    </row>
    <row r="49" customFormat="false" ht="15" hidden="false" customHeight="true" outlineLevel="0" collapsed="false">
      <c r="A49" s="6" t="n">
        <v>46</v>
      </c>
      <c r="B49" s="8" t="s">
        <v>183</v>
      </c>
      <c r="C49" s="7" t="s">
        <v>184</v>
      </c>
      <c r="D49" s="8" t="s">
        <v>183</v>
      </c>
      <c r="E49" s="6" t="s">
        <v>13</v>
      </c>
      <c r="F49" s="19" t="s">
        <v>124</v>
      </c>
      <c r="G49" s="10" t="s">
        <v>15</v>
      </c>
      <c r="H49" s="11"/>
    </row>
    <row r="50" customFormat="false" ht="15" hidden="false" customHeight="true" outlineLevel="0" collapsed="false">
      <c r="A50" s="6" t="n">
        <v>47</v>
      </c>
      <c r="B50" s="8" t="s">
        <v>185</v>
      </c>
      <c r="C50" s="7" t="s">
        <v>186</v>
      </c>
      <c r="D50" s="8" t="s">
        <v>185</v>
      </c>
      <c r="E50" s="6" t="s">
        <v>13</v>
      </c>
      <c r="F50" s="19" t="s">
        <v>124</v>
      </c>
      <c r="G50" s="10" t="s">
        <v>15</v>
      </c>
      <c r="H50" s="11"/>
    </row>
    <row r="51" customFormat="false" ht="15" hidden="false" customHeight="true" outlineLevel="0" collapsed="false">
      <c r="A51" s="6" t="n">
        <v>48</v>
      </c>
      <c r="B51" s="8" t="s">
        <v>187</v>
      </c>
      <c r="C51" s="7" t="s">
        <v>188</v>
      </c>
      <c r="D51" s="7" t="s">
        <v>164</v>
      </c>
      <c r="E51" s="6" t="s">
        <v>13</v>
      </c>
      <c r="F51" s="19" t="s">
        <v>124</v>
      </c>
      <c r="G51" s="10" t="s">
        <v>15</v>
      </c>
      <c r="H51" s="11"/>
    </row>
    <row r="52" customFormat="false" ht="15" hidden="false" customHeight="true" outlineLevel="0" collapsed="false">
      <c r="A52" s="6" t="n">
        <v>49</v>
      </c>
      <c r="B52" s="7" t="s">
        <v>189</v>
      </c>
      <c r="C52" s="8" t="s">
        <v>190</v>
      </c>
      <c r="D52" s="8" t="s">
        <v>191</v>
      </c>
      <c r="E52" s="6" t="s">
        <v>13</v>
      </c>
      <c r="F52" s="9" t="s">
        <v>14</v>
      </c>
      <c r="G52" s="20" t="s">
        <v>192</v>
      </c>
      <c r="H52" s="14" t="s">
        <v>193</v>
      </c>
    </row>
    <row r="53" customFormat="false" ht="15" hidden="false" customHeight="true" outlineLevel="0" collapsed="false">
      <c r="A53" s="6" t="n">
        <v>50</v>
      </c>
      <c r="B53" s="7" t="s">
        <v>194</v>
      </c>
      <c r="C53" s="8" t="s">
        <v>195</v>
      </c>
      <c r="D53" s="7" t="s">
        <v>194</v>
      </c>
      <c r="E53" s="6" t="s">
        <v>13</v>
      </c>
      <c r="F53" s="19" t="s">
        <v>124</v>
      </c>
      <c r="G53" s="10" t="s">
        <v>15</v>
      </c>
      <c r="H53" s="11"/>
    </row>
    <row r="54" customFormat="false" ht="15" hidden="false" customHeight="true" outlineLevel="0" collapsed="false">
      <c r="A54" s="6" t="n">
        <v>51</v>
      </c>
      <c r="B54" s="8" t="s">
        <v>196</v>
      </c>
      <c r="C54" s="7" t="s">
        <v>197</v>
      </c>
      <c r="D54" s="8" t="s">
        <v>196</v>
      </c>
      <c r="E54" s="6" t="s">
        <v>13</v>
      </c>
      <c r="F54" s="19" t="s">
        <v>124</v>
      </c>
      <c r="G54" s="10" t="s">
        <v>15</v>
      </c>
      <c r="H54" s="11"/>
    </row>
    <row r="55" customFormat="false" ht="15" hidden="false" customHeight="true" outlineLevel="0" collapsed="false">
      <c r="A55" s="6" t="n">
        <v>52</v>
      </c>
      <c r="B55" s="7" t="s">
        <v>198</v>
      </c>
      <c r="C55" s="8" t="s">
        <v>199</v>
      </c>
      <c r="D55" s="7" t="s">
        <v>200</v>
      </c>
      <c r="E55" s="6" t="s">
        <v>96</v>
      </c>
      <c r="F55" s="19" t="s">
        <v>124</v>
      </c>
      <c r="G55" s="10" t="s">
        <v>15</v>
      </c>
      <c r="H55" s="11" t="s">
        <v>201</v>
      </c>
    </row>
    <row r="56" customFormat="false" ht="15" hidden="false" customHeight="true" outlineLevel="0" collapsed="false">
      <c r="A56" s="6" t="n">
        <v>53</v>
      </c>
      <c r="B56" s="7" t="s">
        <v>202</v>
      </c>
      <c r="C56" s="8" t="s">
        <v>203</v>
      </c>
      <c r="D56" s="8" t="s">
        <v>204</v>
      </c>
      <c r="E56" s="6" t="s">
        <v>96</v>
      </c>
      <c r="F56" s="19" t="s">
        <v>124</v>
      </c>
      <c r="G56" s="10" t="s">
        <v>15</v>
      </c>
      <c r="H56" s="11"/>
    </row>
    <row r="57" customFormat="false" ht="15" hidden="false" customHeight="true" outlineLevel="0" collapsed="false">
      <c r="A57" s="6" t="n">
        <v>54</v>
      </c>
      <c r="B57" s="8" t="s">
        <v>205</v>
      </c>
      <c r="C57" s="7" t="s">
        <v>206</v>
      </c>
      <c r="D57" s="8" t="s">
        <v>205</v>
      </c>
      <c r="E57" s="6" t="s">
        <v>96</v>
      </c>
      <c r="F57" s="19" t="s">
        <v>124</v>
      </c>
      <c r="G57" s="10" t="s">
        <v>15</v>
      </c>
      <c r="H57" s="11"/>
    </row>
    <row r="58" customFormat="false" ht="15" hidden="false" customHeight="true" outlineLevel="0" collapsed="false">
      <c r="A58" s="6" t="n">
        <v>55</v>
      </c>
      <c r="B58" s="8" t="s">
        <v>207</v>
      </c>
      <c r="C58" s="7" t="s">
        <v>208</v>
      </c>
      <c r="D58" s="8" t="s">
        <v>207</v>
      </c>
      <c r="E58" s="6" t="s">
        <v>96</v>
      </c>
      <c r="F58" s="19" t="s">
        <v>124</v>
      </c>
      <c r="G58" s="10" t="s">
        <v>15</v>
      </c>
      <c r="H58" s="11"/>
    </row>
    <row r="59" customFormat="false" ht="15" hidden="false" customHeight="true" outlineLevel="0" collapsed="false">
      <c r="A59" s="6" t="n">
        <v>56</v>
      </c>
      <c r="B59" s="8" t="s">
        <v>209</v>
      </c>
      <c r="C59" s="7" t="s">
        <v>210</v>
      </c>
      <c r="D59" s="8" t="s">
        <v>209</v>
      </c>
      <c r="E59" s="6" t="s">
        <v>96</v>
      </c>
      <c r="F59" s="19" t="s">
        <v>124</v>
      </c>
      <c r="G59" s="10" t="s">
        <v>15</v>
      </c>
      <c r="H59" s="11"/>
    </row>
    <row r="60" customFormat="false" ht="15" hidden="false" customHeight="true" outlineLevel="0" collapsed="false">
      <c r="A60" s="6" t="n">
        <v>57</v>
      </c>
      <c r="B60" s="8" t="s">
        <v>211</v>
      </c>
      <c r="C60" s="7" t="s">
        <v>212</v>
      </c>
      <c r="D60" s="8" t="s">
        <v>211</v>
      </c>
      <c r="E60" s="6" t="s">
        <v>96</v>
      </c>
      <c r="F60" s="19" t="s">
        <v>124</v>
      </c>
      <c r="G60" s="10" t="s">
        <v>15</v>
      </c>
      <c r="H60" s="11"/>
    </row>
    <row r="61" customFormat="false" ht="15" hidden="false" customHeight="true" outlineLevel="0" collapsed="false">
      <c r="A61" s="6" t="n">
        <v>58</v>
      </c>
      <c r="B61" s="8" t="s">
        <v>213</v>
      </c>
      <c r="C61" s="7" t="s">
        <v>214</v>
      </c>
      <c r="D61" s="8" t="s">
        <v>213</v>
      </c>
      <c r="E61" s="6" t="s">
        <v>96</v>
      </c>
      <c r="F61" s="19" t="s">
        <v>124</v>
      </c>
      <c r="G61" s="10" t="s">
        <v>15</v>
      </c>
      <c r="H61" s="11"/>
    </row>
    <row r="62" customFormat="false" ht="15" hidden="false" customHeight="true" outlineLevel="0" collapsed="false">
      <c r="A62" s="6" t="n">
        <v>59</v>
      </c>
      <c r="B62" s="7" t="s">
        <v>215</v>
      </c>
      <c r="C62" s="8" t="s">
        <v>216</v>
      </c>
      <c r="D62" s="8" t="s">
        <v>217</v>
      </c>
      <c r="E62" s="6" t="s">
        <v>96</v>
      </c>
      <c r="F62" s="19" t="s">
        <v>124</v>
      </c>
      <c r="G62" s="10" t="s">
        <v>15</v>
      </c>
      <c r="H62" s="14" t="s">
        <v>218</v>
      </c>
    </row>
    <row r="63" customFormat="false" ht="15" hidden="false" customHeight="true" outlineLevel="0" collapsed="false">
      <c r="A63" s="6" t="n">
        <v>60</v>
      </c>
      <c r="B63" s="7" t="s">
        <v>219</v>
      </c>
      <c r="C63" s="8" t="s">
        <v>220</v>
      </c>
      <c r="D63" s="7" t="s">
        <v>221</v>
      </c>
      <c r="E63" s="6" t="s">
        <v>96</v>
      </c>
      <c r="F63" s="19" t="s">
        <v>124</v>
      </c>
      <c r="G63" s="10" t="s">
        <v>15</v>
      </c>
      <c r="H63" s="14" t="s">
        <v>222</v>
      </c>
    </row>
    <row r="64" customFormat="false" ht="15" hidden="false" customHeight="true" outlineLevel="0" collapsed="false">
      <c r="A64" s="6" t="n">
        <v>61</v>
      </c>
      <c r="B64" s="7" t="s">
        <v>223</v>
      </c>
      <c r="C64" s="8" t="s">
        <v>224</v>
      </c>
      <c r="D64" s="8" t="s">
        <v>225</v>
      </c>
      <c r="E64" s="6" t="s">
        <v>96</v>
      </c>
      <c r="F64" s="19" t="s">
        <v>124</v>
      </c>
      <c r="G64" s="10" t="s">
        <v>15</v>
      </c>
      <c r="H64" s="14" t="s">
        <v>226</v>
      </c>
    </row>
    <row r="65" customFormat="false" ht="15" hidden="false" customHeight="true" outlineLevel="0" collapsed="false">
      <c r="A65" s="6" t="n">
        <v>62</v>
      </c>
      <c r="B65" s="7" t="s">
        <v>227</v>
      </c>
      <c r="C65" s="8" t="s">
        <v>228</v>
      </c>
      <c r="D65" s="7" t="s">
        <v>227</v>
      </c>
      <c r="E65" s="6" t="s">
        <v>96</v>
      </c>
      <c r="F65" s="19" t="s">
        <v>124</v>
      </c>
      <c r="G65" s="10" t="s">
        <v>15</v>
      </c>
      <c r="H65" s="14" t="s">
        <v>182</v>
      </c>
    </row>
    <row r="66" customFormat="false" ht="15" hidden="false" customHeight="true" outlineLevel="0" collapsed="false">
      <c r="A66" s="6" t="n">
        <v>63</v>
      </c>
      <c r="B66" s="7" t="s">
        <v>229</v>
      </c>
      <c r="C66" s="8" t="s">
        <v>230</v>
      </c>
      <c r="D66" s="8" t="s">
        <v>230</v>
      </c>
      <c r="E66" s="6" t="s">
        <v>31</v>
      </c>
      <c r="F66" s="19" t="s">
        <v>124</v>
      </c>
      <c r="G66" s="10" t="s">
        <v>15</v>
      </c>
      <c r="H66" s="14" t="s">
        <v>182</v>
      </c>
    </row>
    <row r="67" customFormat="false" ht="15" hidden="false" customHeight="true" outlineLevel="0" collapsed="false">
      <c r="A67" s="6" t="n">
        <v>64</v>
      </c>
      <c r="B67" s="8" t="s">
        <v>231</v>
      </c>
      <c r="C67" s="7" t="s">
        <v>232</v>
      </c>
      <c r="D67" s="8" t="s">
        <v>231</v>
      </c>
      <c r="E67" s="6" t="s">
        <v>31</v>
      </c>
      <c r="F67" s="19" t="s">
        <v>124</v>
      </c>
      <c r="G67" s="10" t="s">
        <v>15</v>
      </c>
      <c r="H67" s="11"/>
    </row>
    <row r="68" customFormat="false" ht="15" hidden="false" customHeight="true" outlineLevel="0" collapsed="false">
      <c r="A68" s="6" t="n">
        <v>65</v>
      </c>
      <c r="B68" s="8" t="s">
        <v>233</v>
      </c>
      <c r="C68" s="7" t="s">
        <v>234</v>
      </c>
      <c r="D68" s="8" t="s">
        <v>204</v>
      </c>
      <c r="E68" s="6" t="s">
        <v>31</v>
      </c>
      <c r="F68" s="19" t="s">
        <v>124</v>
      </c>
      <c r="G68" s="10" t="s">
        <v>15</v>
      </c>
      <c r="H68" s="11"/>
    </row>
    <row r="69" customFormat="false" ht="15" hidden="false" customHeight="true" outlineLevel="0" collapsed="false">
      <c r="A69" s="6" t="n">
        <v>66</v>
      </c>
      <c r="B69" s="8" t="s">
        <v>235</v>
      </c>
      <c r="C69" s="7" t="s">
        <v>236</v>
      </c>
      <c r="D69" s="8" t="s">
        <v>235</v>
      </c>
      <c r="E69" s="6" t="s">
        <v>31</v>
      </c>
      <c r="F69" s="19" t="s">
        <v>124</v>
      </c>
      <c r="G69" s="10" t="s">
        <v>15</v>
      </c>
      <c r="H69" s="11"/>
    </row>
    <row r="70" customFormat="false" ht="15" hidden="false" customHeight="true" outlineLevel="0" collapsed="false">
      <c r="A70" s="6" t="n">
        <v>67</v>
      </c>
      <c r="B70" s="7" t="s">
        <v>237</v>
      </c>
      <c r="C70" s="8" t="s">
        <v>238</v>
      </c>
      <c r="D70" s="7" t="s">
        <v>237</v>
      </c>
      <c r="E70" s="6" t="s">
        <v>31</v>
      </c>
      <c r="F70" s="19" t="s">
        <v>124</v>
      </c>
      <c r="G70" s="10" t="s">
        <v>15</v>
      </c>
      <c r="H70" s="11"/>
    </row>
    <row r="71" customFormat="false" ht="15" hidden="false" customHeight="true" outlineLevel="0" collapsed="false">
      <c r="A71" s="6" t="n">
        <v>68</v>
      </c>
      <c r="B71" s="7" t="s">
        <v>239</v>
      </c>
      <c r="C71" s="8" t="s">
        <v>240</v>
      </c>
      <c r="D71" s="8" t="s">
        <v>241</v>
      </c>
      <c r="E71" s="6" t="s">
        <v>31</v>
      </c>
      <c r="F71" s="19" t="s">
        <v>124</v>
      </c>
      <c r="G71" s="10" t="s">
        <v>15</v>
      </c>
      <c r="H71" s="14" t="s">
        <v>242</v>
      </c>
    </row>
    <row r="72" customFormat="false" ht="15" hidden="false" customHeight="true" outlineLevel="0" collapsed="false">
      <c r="A72" s="6" t="n">
        <v>69</v>
      </c>
      <c r="B72" s="7" t="s">
        <v>243</v>
      </c>
      <c r="C72" s="8" t="s">
        <v>244</v>
      </c>
      <c r="D72" s="8" t="s">
        <v>225</v>
      </c>
      <c r="E72" s="6" t="s">
        <v>31</v>
      </c>
      <c r="F72" s="19" t="s">
        <v>124</v>
      </c>
      <c r="G72" s="10" t="s">
        <v>15</v>
      </c>
      <c r="H72" s="11"/>
    </row>
    <row r="73" customFormat="false" ht="15" hidden="false" customHeight="true" outlineLevel="0" collapsed="false">
      <c r="A73" s="6" t="n">
        <v>70</v>
      </c>
      <c r="B73" s="8" t="s">
        <v>245</v>
      </c>
      <c r="C73" s="7" t="s">
        <v>246</v>
      </c>
      <c r="D73" s="8" t="s">
        <v>147</v>
      </c>
      <c r="E73" s="6" t="s">
        <v>31</v>
      </c>
      <c r="F73" s="19" t="s">
        <v>124</v>
      </c>
      <c r="G73" s="10" t="s">
        <v>15</v>
      </c>
      <c r="H73" s="14" t="s">
        <v>247</v>
      </c>
    </row>
    <row r="74" customFormat="false" ht="15" hidden="false" customHeight="true" outlineLevel="0" collapsed="false">
      <c r="A74" s="6" t="n">
        <v>71</v>
      </c>
      <c r="B74" s="8" t="s">
        <v>248</v>
      </c>
      <c r="C74" s="7" t="s">
        <v>249</v>
      </c>
      <c r="D74" s="8" t="s">
        <v>248</v>
      </c>
      <c r="E74" s="6" t="s">
        <v>31</v>
      </c>
      <c r="F74" s="19" t="s">
        <v>124</v>
      </c>
      <c r="G74" s="10" t="s">
        <v>15</v>
      </c>
      <c r="H74" s="11"/>
    </row>
    <row r="75" customFormat="false" ht="15" hidden="false" customHeight="true" outlineLevel="0" collapsed="false">
      <c r="A75" s="6" t="n">
        <v>72</v>
      </c>
      <c r="B75" s="8" t="s">
        <v>250</v>
      </c>
      <c r="C75" s="7" t="s">
        <v>251</v>
      </c>
      <c r="D75" s="8" t="s">
        <v>252</v>
      </c>
      <c r="E75" s="6" t="s">
        <v>31</v>
      </c>
      <c r="F75" s="19" t="s">
        <v>124</v>
      </c>
      <c r="G75" s="10" t="s">
        <v>15</v>
      </c>
      <c r="H75" s="11"/>
    </row>
    <row r="76" customFormat="false" ht="15" hidden="false" customHeight="true" outlineLevel="0" collapsed="false">
      <c r="A76" s="6" t="n">
        <v>73</v>
      </c>
      <c r="B76" s="8" t="s">
        <v>253</v>
      </c>
      <c r="C76" s="7" t="s">
        <v>254</v>
      </c>
      <c r="D76" s="8" t="s">
        <v>253</v>
      </c>
      <c r="E76" s="6" t="s">
        <v>31</v>
      </c>
      <c r="F76" s="19" t="s">
        <v>124</v>
      </c>
      <c r="G76" s="10" t="s">
        <v>15</v>
      </c>
      <c r="H76" s="11"/>
    </row>
    <row r="77" customFormat="false" ht="15" hidden="false" customHeight="true" outlineLevel="0" collapsed="false">
      <c r="A77" s="6" t="n">
        <v>74</v>
      </c>
      <c r="B77" s="8" t="s">
        <v>255</v>
      </c>
      <c r="C77" s="7" t="s">
        <v>256</v>
      </c>
      <c r="D77" s="8" t="s">
        <v>257</v>
      </c>
      <c r="E77" s="6" t="s">
        <v>31</v>
      </c>
      <c r="F77" s="19" t="s">
        <v>124</v>
      </c>
      <c r="G77" s="10" t="s">
        <v>15</v>
      </c>
      <c r="H77" s="14" t="s">
        <v>258</v>
      </c>
    </row>
    <row r="78" customFormat="false" ht="15" hidden="false" customHeight="true" outlineLevel="0" collapsed="false">
      <c r="A78" s="6" t="n">
        <v>75</v>
      </c>
      <c r="B78" s="8" t="s">
        <v>259</v>
      </c>
      <c r="C78" s="7" t="s">
        <v>260</v>
      </c>
      <c r="D78" s="8" t="s">
        <v>259</v>
      </c>
      <c r="E78" s="6" t="s">
        <v>31</v>
      </c>
      <c r="F78" s="19" t="s">
        <v>124</v>
      </c>
      <c r="G78" s="10" t="s">
        <v>15</v>
      </c>
      <c r="H78" s="11"/>
    </row>
    <row r="79" customFormat="false" ht="15" hidden="false" customHeight="true" outlineLevel="0" collapsed="false">
      <c r="A79" s="6" t="n">
        <v>76</v>
      </c>
      <c r="B79" s="8" t="s">
        <v>261</v>
      </c>
      <c r="C79" s="7" t="s">
        <v>262</v>
      </c>
      <c r="D79" s="8" t="s">
        <v>261</v>
      </c>
      <c r="E79" s="6" t="s">
        <v>31</v>
      </c>
      <c r="F79" s="19" t="s">
        <v>124</v>
      </c>
      <c r="G79" s="10" t="s">
        <v>15</v>
      </c>
      <c r="H79" s="11"/>
    </row>
    <row r="80" customFormat="false" ht="15" hidden="false" customHeight="true" outlineLevel="0" collapsed="false">
      <c r="A80" s="6" t="n">
        <v>77</v>
      </c>
      <c r="B80" s="7" t="s">
        <v>263</v>
      </c>
      <c r="C80" s="8" t="s">
        <v>264</v>
      </c>
      <c r="D80" s="7" t="s">
        <v>263</v>
      </c>
      <c r="E80" s="6" t="s">
        <v>31</v>
      </c>
      <c r="F80" s="19" t="s">
        <v>124</v>
      </c>
      <c r="G80" s="10" t="s">
        <v>15</v>
      </c>
      <c r="H80" s="11"/>
    </row>
    <row r="81" customFormat="false" ht="15" hidden="false" customHeight="true" outlineLevel="0" collapsed="false">
      <c r="A81" s="6" t="n">
        <v>78</v>
      </c>
      <c r="B81" s="8" t="s">
        <v>265</v>
      </c>
      <c r="C81" s="7" t="s">
        <v>266</v>
      </c>
      <c r="D81" s="8" t="s">
        <v>265</v>
      </c>
      <c r="E81" s="6" t="s">
        <v>31</v>
      </c>
      <c r="F81" s="19" t="s">
        <v>124</v>
      </c>
      <c r="G81" s="10" t="s">
        <v>15</v>
      </c>
      <c r="H81" s="11"/>
    </row>
    <row r="82" customFormat="false" ht="15" hidden="false" customHeight="true" outlineLevel="0" collapsed="false">
      <c r="A82" s="6" t="n">
        <v>79</v>
      </c>
      <c r="B82" s="8" t="s">
        <v>267</v>
      </c>
      <c r="C82" s="7" t="s">
        <v>268</v>
      </c>
      <c r="D82" s="8" t="s">
        <v>267</v>
      </c>
      <c r="E82" s="6" t="s">
        <v>31</v>
      </c>
      <c r="F82" s="19" t="s">
        <v>124</v>
      </c>
      <c r="G82" s="10" t="s">
        <v>15</v>
      </c>
      <c r="H82" s="11"/>
    </row>
    <row r="83" customFormat="false" ht="29.25" hidden="false" customHeight="true" outlineLevel="0" collapsed="false">
      <c r="A83" s="6" t="n">
        <v>80</v>
      </c>
      <c r="B83" s="8" t="s">
        <v>269</v>
      </c>
      <c r="C83" s="7" t="s">
        <v>270</v>
      </c>
      <c r="D83" s="8" t="s">
        <v>271</v>
      </c>
      <c r="E83" s="6" t="s">
        <v>42</v>
      </c>
      <c r="F83" s="19" t="s">
        <v>124</v>
      </c>
      <c r="G83" s="10" t="s">
        <v>15</v>
      </c>
      <c r="H83" s="14" t="s">
        <v>272</v>
      </c>
    </row>
    <row r="84" customFormat="false" ht="15" hidden="false" customHeight="true" outlineLevel="0" collapsed="false">
      <c r="A84" s="6" t="n">
        <v>81</v>
      </c>
      <c r="B84" s="8" t="s">
        <v>273</v>
      </c>
      <c r="C84" s="7" t="s">
        <v>274</v>
      </c>
      <c r="D84" s="8" t="s">
        <v>275</v>
      </c>
      <c r="E84" s="6" t="s">
        <v>42</v>
      </c>
      <c r="F84" s="9" t="s">
        <v>14</v>
      </c>
      <c r="G84" s="10" t="s">
        <v>15</v>
      </c>
      <c r="H84" s="11" t="s">
        <v>276</v>
      </c>
    </row>
    <row r="85" customFormat="false" ht="29.25" hidden="false" customHeight="true" outlineLevel="0" collapsed="false">
      <c r="A85" s="6" t="n">
        <v>82</v>
      </c>
      <c r="B85" s="8" t="s">
        <v>277</v>
      </c>
      <c r="C85" s="7" t="s">
        <v>278</v>
      </c>
      <c r="D85" s="8" t="s">
        <v>279</v>
      </c>
      <c r="E85" s="6" t="s">
        <v>31</v>
      </c>
      <c r="F85" s="13" t="s">
        <v>26</v>
      </c>
      <c r="G85" s="10" t="s">
        <v>15</v>
      </c>
      <c r="H85" s="11" t="s">
        <v>280</v>
      </c>
    </row>
    <row r="86" customFormat="false" ht="15" hidden="false" customHeight="true" outlineLevel="0" collapsed="false">
      <c r="A86" s="6" t="n">
        <v>83</v>
      </c>
      <c r="B86" s="7" t="s">
        <v>281</v>
      </c>
      <c r="C86" s="18" t="s">
        <v>282</v>
      </c>
      <c r="D86" s="8" t="s">
        <v>283</v>
      </c>
      <c r="E86" s="6" t="s">
        <v>96</v>
      </c>
      <c r="F86" s="19" t="s">
        <v>124</v>
      </c>
      <c r="G86" s="15" t="s">
        <v>37</v>
      </c>
      <c r="H86" s="21" t="s">
        <v>284</v>
      </c>
    </row>
    <row r="87" customFormat="false" ht="15" hidden="false" customHeight="true" outlineLevel="0" collapsed="false">
      <c r="A87" s="6" t="n">
        <v>84</v>
      </c>
      <c r="B87" s="7" t="s">
        <v>285</v>
      </c>
      <c r="C87" s="18" t="s">
        <v>286</v>
      </c>
      <c r="D87" s="8" t="s">
        <v>287</v>
      </c>
      <c r="E87" s="6" t="s">
        <v>96</v>
      </c>
      <c r="F87" s="19" t="s">
        <v>124</v>
      </c>
      <c r="G87" s="15" t="s">
        <v>37</v>
      </c>
      <c r="H87" s="21" t="s">
        <v>288</v>
      </c>
    </row>
    <row r="88" customFormat="false" ht="15" hidden="false" customHeight="true" outlineLevel="0" collapsed="false">
      <c r="A88" s="6" t="n">
        <v>85</v>
      </c>
      <c r="B88" s="7" t="s">
        <v>289</v>
      </c>
      <c r="C88" s="8" t="s">
        <v>290</v>
      </c>
      <c r="D88" s="8" t="s">
        <v>291</v>
      </c>
      <c r="E88" s="6" t="s">
        <v>31</v>
      </c>
      <c r="F88" s="19" t="s">
        <v>124</v>
      </c>
      <c r="G88" s="17" t="s">
        <v>98</v>
      </c>
      <c r="H88" s="21" t="s">
        <v>292</v>
      </c>
    </row>
    <row r="89" customFormat="false" ht="29.25" hidden="false" customHeight="true" outlineLevel="0" collapsed="false">
      <c r="A89" s="6" t="n">
        <v>86</v>
      </c>
      <c r="B89" s="7" t="s">
        <v>293</v>
      </c>
      <c r="C89" s="8" t="s">
        <v>294</v>
      </c>
      <c r="D89" s="8" t="s">
        <v>127</v>
      </c>
      <c r="E89" s="6" t="s">
        <v>31</v>
      </c>
      <c r="F89" s="9" t="s">
        <v>14</v>
      </c>
      <c r="G89" s="10" t="s">
        <v>15</v>
      </c>
      <c r="H89" s="11" t="s">
        <v>295</v>
      </c>
    </row>
    <row r="90" customFormat="false" ht="29.25" hidden="false" customHeight="true" outlineLevel="0" collapsed="false">
      <c r="A90" s="6" t="n">
        <v>87</v>
      </c>
      <c r="B90" s="7" t="s">
        <v>296</v>
      </c>
      <c r="C90" s="8" t="s">
        <v>297</v>
      </c>
      <c r="D90" s="8" t="s">
        <v>298</v>
      </c>
      <c r="E90" s="6" t="s">
        <v>42</v>
      </c>
      <c r="F90" s="9" t="s">
        <v>14</v>
      </c>
      <c r="G90" s="10" t="s">
        <v>15</v>
      </c>
      <c r="H90" s="11" t="s">
        <v>299</v>
      </c>
    </row>
    <row r="91" customFormat="false" ht="15" hidden="false" customHeight="true" outlineLevel="0" collapsed="false">
      <c r="A91" s="6" t="n">
        <v>88</v>
      </c>
      <c r="B91" s="7" t="s">
        <v>300</v>
      </c>
      <c r="C91" s="7" t="s">
        <v>301</v>
      </c>
      <c r="D91" s="7" t="s">
        <v>300</v>
      </c>
      <c r="E91" s="6" t="s">
        <v>302</v>
      </c>
      <c r="F91" s="19" t="s">
        <v>124</v>
      </c>
      <c r="G91" s="15" t="s">
        <v>37</v>
      </c>
      <c r="H91" s="11" t="s">
        <v>303</v>
      </c>
    </row>
    <row r="92" customFormat="false" ht="15" hidden="false" customHeight="true" outlineLevel="0" collapsed="false">
      <c r="A92" s="6" t="n">
        <v>89</v>
      </c>
      <c r="B92" s="8" t="s">
        <v>304</v>
      </c>
      <c r="C92" s="7" t="s">
        <v>305</v>
      </c>
      <c r="D92" s="7" t="s">
        <v>306</v>
      </c>
      <c r="E92" s="6" t="s">
        <v>307</v>
      </c>
      <c r="F92" s="19" t="s">
        <v>124</v>
      </c>
      <c r="G92" s="15" t="s">
        <v>37</v>
      </c>
      <c r="H92" s="11" t="s">
        <v>308</v>
      </c>
    </row>
    <row r="93" customFormat="false" ht="15" hidden="false" customHeight="true" outlineLevel="0" collapsed="false">
      <c r="A93" s="6" t="n">
        <v>90</v>
      </c>
      <c r="B93" s="8" t="s">
        <v>309</v>
      </c>
      <c r="C93" s="7" t="s">
        <v>310</v>
      </c>
      <c r="D93" s="8" t="s">
        <v>309</v>
      </c>
      <c r="E93" s="6" t="s">
        <v>311</v>
      </c>
      <c r="F93" s="19" t="s">
        <v>124</v>
      </c>
      <c r="G93" s="15" t="s">
        <v>37</v>
      </c>
      <c r="H93" s="11" t="s">
        <v>312</v>
      </c>
    </row>
    <row r="94" customFormat="false" ht="15" hidden="false" customHeight="true" outlineLevel="0" collapsed="false">
      <c r="A94" s="6" t="n">
        <v>91</v>
      </c>
      <c r="B94" s="8" t="s">
        <v>313</v>
      </c>
      <c r="C94" s="7" t="s">
        <v>314</v>
      </c>
      <c r="D94" s="8" t="s">
        <v>315</v>
      </c>
      <c r="E94" s="6" t="s">
        <v>311</v>
      </c>
      <c r="F94" s="9" t="s">
        <v>14</v>
      </c>
      <c r="G94" s="15" t="s">
        <v>37</v>
      </c>
      <c r="H94" s="14" t="s">
        <v>316</v>
      </c>
    </row>
    <row r="95" customFormat="false" ht="15" hidden="false" customHeight="true" outlineLevel="0" collapsed="false">
      <c r="A95" s="6" t="n">
        <v>92</v>
      </c>
      <c r="B95" s="8" t="s">
        <v>317</v>
      </c>
      <c r="C95" s="7" t="s">
        <v>318</v>
      </c>
      <c r="D95" s="8" t="s">
        <v>317</v>
      </c>
      <c r="E95" s="6" t="s">
        <v>311</v>
      </c>
      <c r="F95" s="19" t="s">
        <v>124</v>
      </c>
      <c r="G95" s="15" t="s">
        <v>37</v>
      </c>
      <c r="H95" s="11" t="s">
        <v>312</v>
      </c>
    </row>
    <row r="96" customFormat="false" ht="15" hidden="false" customHeight="true" outlineLevel="0" collapsed="false">
      <c r="A96" s="6" t="n">
        <v>93</v>
      </c>
      <c r="B96" s="8" t="s">
        <v>319</v>
      </c>
      <c r="C96" s="7" t="s">
        <v>320</v>
      </c>
      <c r="D96" s="8" t="s">
        <v>319</v>
      </c>
      <c r="E96" s="6" t="s">
        <v>321</v>
      </c>
      <c r="F96" s="19" t="s">
        <v>124</v>
      </c>
      <c r="G96" s="15" t="s">
        <v>37</v>
      </c>
      <c r="H96" s="11" t="s">
        <v>322</v>
      </c>
    </row>
    <row r="97" customFormat="false" ht="15" hidden="false" customHeight="true" outlineLevel="0" collapsed="false">
      <c r="A97" s="6" t="n">
        <v>94</v>
      </c>
      <c r="B97" s="8" t="s">
        <v>323</v>
      </c>
      <c r="C97" s="7" t="s">
        <v>324</v>
      </c>
      <c r="D97" s="8" t="s">
        <v>325</v>
      </c>
      <c r="E97" s="6" t="s">
        <v>321</v>
      </c>
      <c r="F97" s="19" t="s">
        <v>124</v>
      </c>
      <c r="G97" s="15" t="s">
        <v>37</v>
      </c>
      <c r="H97" s="14" t="s">
        <v>326</v>
      </c>
    </row>
    <row r="98" customFormat="false" ht="15" hidden="false" customHeight="true" outlineLevel="0" collapsed="false">
      <c r="A98" s="6" t="n">
        <v>95</v>
      </c>
      <c r="B98" s="8" t="s">
        <v>327</v>
      </c>
      <c r="C98" s="7" t="s">
        <v>328</v>
      </c>
      <c r="D98" s="8" t="s">
        <v>329</v>
      </c>
      <c r="E98" s="6" t="s">
        <v>321</v>
      </c>
      <c r="F98" s="19" t="s">
        <v>124</v>
      </c>
      <c r="G98" s="15" t="s">
        <v>37</v>
      </c>
      <c r="H98" s="11" t="s">
        <v>322</v>
      </c>
    </row>
    <row r="99" customFormat="false" ht="15" hidden="false" customHeight="true" outlineLevel="0" collapsed="false">
      <c r="A99" s="6" t="n">
        <v>96</v>
      </c>
      <c r="B99" s="8" t="s">
        <v>330</v>
      </c>
      <c r="C99" s="7" t="s">
        <v>331</v>
      </c>
      <c r="D99" s="8" t="s">
        <v>330</v>
      </c>
      <c r="E99" s="6" t="s">
        <v>321</v>
      </c>
      <c r="F99" s="19" t="s">
        <v>124</v>
      </c>
      <c r="G99" s="15" t="s">
        <v>37</v>
      </c>
      <c r="H99" s="11" t="s">
        <v>322</v>
      </c>
    </row>
    <row r="100" customFormat="false" ht="15" hidden="false" customHeight="true" outlineLevel="0" collapsed="false">
      <c r="A100" s="6" t="n">
        <v>97</v>
      </c>
      <c r="B100" s="7" t="s">
        <v>332</v>
      </c>
      <c r="C100" s="8" t="s">
        <v>333</v>
      </c>
      <c r="D100" s="7" t="s">
        <v>332</v>
      </c>
      <c r="E100" s="6" t="s">
        <v>321</v>
      </c>
      <c r="F100" s="19" t="s">
        <v>124</v>
      </c>
      <c r="G100" s="15" t="s">
        <v>37</v>
      </c>
      <c r="H100" s="11" t="s">
        <v>322</v>
      </c>
    </row>
    <row r="101" customFormat="false" ht="15" hidden="false" customHeight="true" outlineLevel="0" collapsed="false">
      <c r="A101" s="6" t="n">
        <v>98</v>
      </c>
      <c r="B101" s="8" t="s">
        <v>334</v>
      </c>
      <c r="C101" s="7" t="s">
        <v>335</v>
      </c>
      <c r="D101" s="8" t="s">
        <v>336</v>
      </c>
      <c r="E101" s="6" t="s">
        <v>321</v>
      </c>
      <c r="F101" s="19" t="s">
        <v>124</v>
      </c>
      <c r="G101" s="15" t="s">
        <v>37</v>
      </c>
      <c r="H101" s="14" t="s">
        <v>337</v>
      </c>
    </row>
    <row r="102" customFormat="false" ht="15" hidden="false" customHeight="true" outlineLevel="0" collapsed="false">
      <c r="A102" s="6" t="n">
        <v>99</v>
      </c>
      <c r="B102" s="7" t="s">
        <v>338</v>
      </c>
      <c r="C102" s="8" t="s">
        <v>339</v>
      </c>
      <c r="D102" s="7" t="s">
        <v>338</v>
      </c>
      <c r="E102" s="6" t="s">
        <v>13</v>
      </c>
      <c r="F102" s="9" t="s">
        <v>14</v>
      </c>
      <c r="G102" s="15" t="s">
        <v>37</v>
      </c>
      <c r="H102" s="14" t="s">
        <v>340</v>
      </c>
    </row>
    <row r="103" customFormat="false" ht="15" hidden="false" customHeight="true" outlineLevel="0" collapsed="false">
      <c r="A103" s="6" t="n">
        <v>100</v>
      </c>
      <c r="B103" s="8" t="s">
        <v>341</v>
      </c>
      <c r="C103" s="7" t="s">
        <v>342</v>
      </c>
      <c r="D103" s="8" t="s">
        <v>341</v>
      </c>
      <c r="E103" s="6" t="s">
        <v>343</v>
      </c>
      <c r="F103" s="19" t="s">
        <v>124</v>
      </c>
      <c r="G103" s="15" t="s">
        <v>37</v>
      </c>
      <c r="H103" s="11" t="s">
        <v>344</v>
      </c>
    </row>
    <row r="104" customFormat="false" ht="15" hidden="false" customHeight="true" outlineLevel="0" collapsed="false">
      <c r="A104" s="6" t="n">
        <v>101</v>
      </c>
      <c r="B104" s="8" t="s">
        <v>345</v>
      </c>
      <c r="C104" s="7" t="s">
        <v>346</v>
      </c>
      <c r="D104" s="8" t="s">
        <v>345</v>
      </c>
      <c r="E104" s="6" t="s">
        <v>343</v>
      </c>
      <c r="F104" s="19" t="s">
        <v>124</v>
      </c>
      <c r="G104" s="15" t="s">
        <v>37</v>
      </c>
      <c r="H104" s="11" t="s">
        <v>344</v>
      </c>
    </row>
    <row r="105" customFormat="false" ht="15" hidden="false" customHeight="true" outlineLevel="0" collapsed="false">
      <c r="A105" s="6" t="n">
        <v>102</v>
      </c>
      <c r="B105" s="8" t="s">
        <v>347</v>
      </c>
      <c r="C105" s="7" t="s">
        <v>348</v>
      </c>
      <c r="D105" s="8" t="s">
        <v>347</v>
      </c>
      <c r="E105" s="6" t="s">
        <v>343</v>
      </c>
      <c r="F105" s="19" t="s">
        <v>124</v>
      </c>
      <c r="G105" s="15" t="s">
        <v>37</v>
      </c>
      <c r="H105" s="11" t="s">
        <v>344</v>
      </c>
    </row>
    <row r="106" customFormat="false" ht="15" hidden="false" customHeight="true" outlineLevel="0" collapsed="false">
      <c r="A106" s="6" t="n">
        <v>103</v>
      </c>
      <c r="B106" s="8" t="s">
        <v>349</v>
      </c>
      <c r="C106" s="7" t="s">
        <v>350</v>
      </c>
      <c r="D106" s="8" t="s">
        <v>349</v>
      </c>
      <c r="E106" s="6" t="s">
        <v>343</v>
      </c>
      <c r="F106" s="19" t="s">
        <v>124</v>
      </c>
      <c r="G106" s="15" t="s">
        <v>37</v>
      </c>
      <c r="H106" s="11" t="s">
        <v>344</v>
      </c>
    </row>
    <row r="107" customFormat="false" ht="15" hidden="false" customHeight="true" outlineLevel="0" collapsed="false">
      <c r="A107" s="6" t="n">
        <v>104</v>
      </c>
      <c r="B107" s="8" t="s">
        <v>351</v>
      </c>
      <c r="C107" s="7" t="s">
        <v>352</v>
      </c>
      <c r="D107" s="7" t="s">
        <v>353</v>
      </c>
      <c r="E107" s="6" t="s">
        <v>343</v>
      </c>
      <c r="F107" s="19" t="s">
        <v>124</v>
      </c>
      <c r="G107" s="15" t="s">
        <v>37</v>
      </c>
      <c r="H107" s="11" t="s">
        <v>344</v>
      </c>
    </row>
    <row r="108" customFormat="false" ht="15" hidden="false" customHeight="true" outlineLevel="0" collapsed="false">
      <c r="A108" s="6" t="n">
        <v>105</v>
      </c>
      <c r="B108" s="8" t="s">
        <v>354</v>
      </c>
      <c r="C108" s="7" t="s">
        <v>355</v>
      </c>
      <c r="D108" s="8" t="s">
        <v>354</v>
      </c>
      <c r="E108" s="6" t="s">
        <v>343</v>
      </c>
      <c r="F108" s="19" t="s">
        <v>124</v>
      </c>
      <c r="G108" s="15" t="s">
        <v>37</v>
      </c>
      <c r="H108" s="11" t="s">
        <v>344</v>
      </c>
    </row>
    <row r="109" customFormat="false" ht="15" hidden="false" customHeight="true" outlineLevel="0" collapsed="false">
      <c r="A109" s="6" t="n">
        <v>106</v>
      </c>
      <c r="B109" s="8" t="s">
        <v>356</v>
      </c>
      <c r="C109" s="7" t="s">
        <v>357</v>
      </c>
      <c r="D109" s="8" t="s">
        <v>356</v>
      </c>
      <c r="E109" s="6" t="s">
        <v>343</v>
      </c>
      <c r="F109" s="19" t="s">
        <v>124</v>
      </c>
      <c r="G109" s="15" t="s">
        <v>37</v>
      </c>
      <c r="H109" s="11" t="s">
        <v>358</v>
      </c>
    </row>
    <row r="110" customFormat="false" ht="15" hidden="false" customHeight="true" outlineLevel="0" collapsed="false">
      <c r="A110" s="6" t="n">
        <v>107</v>
      </c>
      <c r="B110" s="8" t="s">
        <v>359</v>
      </c>
      <c r="C110" s="7" t="s">
        <v>360</v>
      </c>
      <c r="D110" s="8" t="s">
        <v>359</v>
      </c>
      <c r="E110" s="6" t="s">
        <v>343</v>
      </c>
      <c r="F110" s="19" t="s">
        <v>124</v>
      </c>
      <c r="G110" s="15" t="s">
        <v>37</v>
      </c>
      <c r="H110" s="11" t="s">
        <v>344</v>
      </c>
    </row>
    <row r="111" customFormat="false" ht="15" hidden="false" customHeight="true" outlineLevel="0" collapsed="false">
      <c r="A111" s="6" t="n">
        <v>108</v>
      </c>
      <c r="B111" s="7" t="s">
        <v>361</v>
      </c>
      <c r="C111" s="8" t="s">
        <v>362</v>
      </c>
      <c r="D111" s="7" t="s">
        <v>361</v>
      </c>
      <c r="E111" s="6" t="s">
        <v>343</v>
      </c>
      <c r="F111" s="19" t="s">
        <v>124</v>
      </c>
      <c r="G111" s="15" t="s">
        <v>37</v>
      </c>
      <c r="H111" s="11" t="s">
        <v>344</v>
      </c>
    </row>
    <row r="112" customFormat="false" ht="15" hidden="false" customHeight="true" outlineLevel="0" collapsed="false">
      <c r="A112" s="6" t="n">
        <v>109</v>
      </c>
      <c r="B112" s="8" t="s">
        <v>363</v>
      </c>
      <c r="C112" s="7" t="s">
        <v>364</v>
      </c>
      <c r="D112" s="8" t="s">
        <v>363</v>
      </c>
      <c r="E112" s="6" t="s">
        <v>343</v>
      </c>
      <c r="F112" s="19" t="s">
        <v>124</v>
      </c>
      <c r="G112" s="15" t="s">
        <v>37</v>
      </c>
      <c r="H112" s="11" t="s">
        <v>344</v>
      </c>
    </row>
    <row r="113" customFormat="false" ht="15" hidden="false" customHeight="true" outlineLevel="0" collapsed="false">
      <c r="A113" s="6" t="n">
        <v>110</v>
      </c>
      <c r="B113" s="8" t="s">
        <v>365</v>
      </c>
      <c r="C113" s="7" t="s">
        <v>366</v>
      </c>
      <c r="D113" s="8" t="s">
        <v>365</v>
      </c>
      <c r="E113" s="6" t="s">
        <v>343</v>
      </c>
      <c r="F113" s="19" t="s">
        <v>124</v>
      </c>
      <c r="G113" s="15" t="s">
        <v>37</v>
      </c>
      <c r="H113" s="11" t="s">
        <v>344</v>
      </c>
    </row>
    <row r="114" customFormat="false" ht="15" hidden="false" customHeight="true" outlineLevel="0" collapsed="false">
      <c r="A114" s="6" t="n">
        <v>111</v>
      </c>
      <c r="B114" s="8" t="s">
        <v>367</v>
      </c>
      <c r="C114" s="7" t="s">
        <v>368</v>
      </c>
      <c r="D114" s="8" t="s">
        <v>367</v>
      </c>
      <c r="E114" s="6" t="s">
        <v>343</v>
      </c>
      <c r="F114" s="19" t="s">
        <v>124</v>
      </c>
      <c r="G114" s="15" t="s">
        <v>37</v>
      </c>
      <c r="H114" s="11" t="s">
        <v>344</v>
      </c>
    </row>
    <row r="115" customFormat="false" ht="15" hidden="false" customHeight="true" outlineLevel="0" collapsed="false">
      <c r="A115" s="6" t="n">
        <v>112</v>
      </c>
      <c r="B115" s="8" t="s">
        <v>369</v>
      </c>
      <c r="C115" s="7" t="s">
        <v>370</v>
      </c>
      <c r="D115" s="8" t="s">
        <v>369</v>
      </c>
      <c r="E115" s="6" t="s">
        <v>343</v>
      </c>
      <c r="F115" s="19" t="s">
        <v>124</v>
      </c>
      <c r="G115" s="15" t="s">
        <v>37</v>
      </c>
      <c r="H115" s="11" t="s">
        <v>344</v>
      </c>
    </row>
    <row r="116" customFormat="false" ht="15" hidden="false" customHeight="true" outlineLevel="0" collapsed="false">
      <c r="A116" s="6" t="n">
        <v>113</v>
      </c>
      <c r="B116" s="7" t="s">
        <v>371</v>
      </c>
      <c r="C116" s="8" t="s">
        <v>372</v>
      </c>
      <c r="D116" s="8" t="s">
        <v>91</v>
      </c>
      <c r="E116" s="6" t="s">
        <v>373</v>
      </c>
      <c r="F116" s="19" t="s">
        <v>124</v>
      </c>
      <c r="G116" s="15" t="s">
        <v>37</v>
      </c>
      <c r="H116" s="14" t="s">
        <v>374</v>
      </c>
    </row>
    <row r="117" customFormat="false" ht="15" hidden="false" customHeight="true" outlineLevel="0" collapsed="false">
      <c r="A117" s="6" t="n">
        <v>114</v>
      </c>
      <c r="B117" s="8" t="s">
        <v>375</v>
      </c>
      <c r="C117" s="7" t="s">
        <v>376</v>
      </c>
      <c r="D117" s="8" t="s">
        <v>375</v>
      </c>
      <c r="E117" s="6" t="s">
        <v>373</v>
      </c>
      <c r="F117" s="19" t="s">
        <v>124</v>
      </c>
      <c r="G117" s="15" t="s">
        <v>37</v>
      </c>
      <c r="H117" s="11" t="s">
        <v>377</v>
      </c>
    </row>
    <row r="118" customFormat="false" ht="15" hidden="false" customHeight="true" outlineLevel="0" collapsed="false">
      <c r="A118" s="6" t="n">
        <v>115</v>
      </c>
      <c r="B118" s="8" t="s">
        <v>378</v>
      </c>
      <c r="C118" s="7" t="s">
        <v>379</v>
      </c>
      <c r="D118" s="8" t="s">
        <v>378</v>
      </c>
      <c r="E118" s="6" t="s">
        <v>373</v>
      </c>
      <c r="F118" s="19" t="s">
        <v>124</v>
      </c>
      <c r="G118" s="15" t="s">
        <v>37</v>
      </c>
      <c r="H118" s="11" t="s">
        <v>377</v>
      </c>
    </row>
    <row r="119" customFormat="false" ht="15" hidden="false" customHeight="true" outlineLevel="0" collapsed="false">
      <c r="A119" s="6" t="n">
        <v>116</v>
      </c>
      <c r="B119" s="8" t="s">
        <v>380</v>
      </c>
      <c r="C119" s="7" t="s">
        <v>381</v>
      </c>
      <c r="D119" s="8" t="s">
        <v>380</v>
      </c>
      <c r="E119" s="6" t="s">
        <v>373</v>
      </c>
      <c r="F119" s="19" t="s">
        <v>124</v>
      </c>
      <c r="G119" s="15" t="s">
        <v>37</v>
      </c>
      <c r="H119" s="11" t="s">
        <v>377</v>
      </c>
    </row>
    <row r="120" customFormat="false" ht="15" hidden="false" customHeight="true" outlineLevel="0" collapsed="false">
      <c r="A120" s="6" t="n">
        <v>117</v>
      </c>
      <c r="B120" s="8" t="s">
        <v>382</v>
      </c>
      <c r="C120" s="7" t="s">
        <v>383</v>
      </c>
      <c r="D120" s="8" t="s">
        <v>382</v>
      </c>
      <c r="E120" s="6" t="s">
        <v>373</v>
      </c>
      <c r="F120" s="19" t="s">
        <v>124</v>
      </c>
      <c r="G120" s="15" t="s">
        <v>37</v>
      </c>
      <c r="H120" s="11" t="s">
        <v>377</v>
      </c>
    </row>
    <row r="121" customFormat="false" ht="15" hidden="false" customHeight="true" outlineLevel="0" collapsed="false">
      <c r="A121" s="6" t="n">
        <v>118</v>
      </c>
      <c r="B121" s="8" t="s">
        <v>384</v>
      </c>
      <c r="C121" s="7" t="s">
        <v>385</v>
      </c>
      <c r="D121" s="8" t="s">
        <v>384</v>
      </c>
      <c r="E121" s="6" t="s">
        <v>373</v>
      </c>
      <c r="F121" s="19" t="s">
        <v>124</v>
      </c>
      <c r="G121" s="15" t="s">
        <v>37</v>
      </c>
      <c r="H121" s="11" t="s">
        <v>377</v>
      </c>
    </row>
    <row r="122" customFormat="false" ht="15" hidden="false" customHeight="true" outlineLevel="0" collapsed="false">
      <c r="A122" s="6" t="n">
        <v>119</v>
      </c>
      <c r="B122" s="8" t="s">
        <v>386</v>
      </c>
      <c r="C122" s="7" t="s">
        <v>387</v>
      </c>
      <c r="D122" s="8" t="s">
        <v>386</v>
      </c>
      <c r="E122" s="6" t="s">
        <v>373</v>
      </c>
      <c r="F122" s="19" t="s">
        <v>124</v>
      </c>
      <c r="G122" s="15" t="s">
        <v>37</v>
      </c>
      <c r="H122" s="11" t="s">
        <v>377</v>
      </c>
    </row>
    <row r="123" customFormat="false" ht="15" hidden="false" customHeight="true" outlineLevel="0" collapsed="false">
      <c r="A123" s="6" t="n">
        <v>120</v>
      </c>
      <c r="B123" s="8" t="s">
        <v>388</v>
      </c>
      <c r="C123" s="7" t="s">
        <v>389</v>
      </c>
      <c r="D123" s="8" t="s">
        <v>204</v>
      </c>
      <c r="E123" s="6" t="s">
        <v>373</v>
      </c>
      <c r="F123" s="19" t="s">
        <v>124</v>
      </c>
      <c r="G123" s="15" t="s">
        <v>37</v>
      </c>
      <c r="H123" s="11" t="s">
        <v>377</v>
      </c>
    </row>
    <row r="124" customFormat="false" ht="15" hidden="false" customHeight="true" outlineLevel="0" collapsed="false">
      <c r="A124" s="6" t="n">
        <v>121</v>
      </c>
      <c r="B124" s="7" t="s">
        <v>390</v>
      </c>
      <c r="C124" s="8" t="s">
        <v>391</v>
      </c>
      <c r="D124" s="8" t="s">
        <v>392</v>
      </c>
      <c r="E124" s="6" t="s">
        <v>373</v>
      </c>
      <c r="F124" s="19" t="s">
        <v>124</v>
      </c>
      <c r="G124" s="15" t="s">
        <v>37</v>
      </c>
      <c r="H124" s="14" t="s">
        <v>393</v>
      </c>
    </row>
    <row r="125" customFormat="false" ht="15" hidden="false" customHeight="true" outlineLevel="0" collapsed="false">
      <c r="A125" s="6" t="n">
        <v>122</v>
      </c>
      <c r="B125" s="8" t="s">
        <v>394</v>
      </c>
      <c r="C125" s="7" t="s">
        <v>395</v>
      </c>
      <c r="D125" s="7" t="s">
        <v>353</v>
      </c>
      <c r="E125" s="6" t="s">
        <v>373</v>
      </c>
      <c r="F125" s="19" t="s">
        <v>124</v>
      </c>
      <c r="G125" s="15" t="s">
        <v>37</v>
      </c>
      <c r="H125" s="11" t="s">
        <v>377</v>
      </c>
    </row>
    <row r="126" customFormat="false" ht="15" hidden="false" customHeight="true" outlineLevel="0" collapsed="false">
      <c r="A126" s="6" t="n">
        <v>123</v>
      </c>
      <c r="B126" s="8" t="s">
        <v>396</v>
      </c>
      <c r="C126" s="7" t="s">
        <v>397</v>
      </c>
      <c r="D126" s="8" t="s">
        <v>398</v>
      </c>
      <c r="E126" s="6" t="s">
        <v>373</v>
      </c>
      <c r="F126" s="19" t="s">
        <v>124</v>
      </c>
      <c r="G126" s="15" t="s">
        <v>37</v>
      </c>
      <c r="H126" s="14" t="s">
        <v>399</v>
      </c>
    </row>
  </sheetData>
  <autoFilter ref="A3:H126"/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16"/>
    <col collapsed="false" customWidth="true" hidden="false" outlineLevel="0" max="3" min="3" style="1" width="34"/>
    <col collapsed="false" customWidth="true" hidden="false" outlineLevel="0" max="4" min="4" style="1" width="40"/>
  </cols>
  <sheetData>
    <row r="1" customFormat="false" ht="25.5" hidden="false" customHeight="true" outlineLevel="0" collapsed="false">
      <c r="A1" s="2" t="s">
        <v>400</v>
      </c>
      <c r="B1" s="2"/>
      <c r="C1" s="2"/>
      <c r="D1" s="2"/>
    </row>
    <row r="2" customFormat="false" ht="21.75" hidden="false" customHeight="true" outlineLevel="0" collapsed="false">
      <c r="A2" s="22" t="s">
        <v>5</v>
      </c>
      <c r="B2" s="22" t="s">
        <v>401</v>
      </c>
      <c r="C2" s="22" t="s">
        <v>402</v>
      </c>
      <c r="D2" s="22" t="s">
        <v>9</v>
      </c>
    </row>
    <row r="3" customFormat="false" ht="15" hidden="false" customHeight="true" outlineLevel="0" collapsed="false">
      <c r="A3" s="7" t="s">
        <v>12</v>
      </c>
      <c r="B3" s="8" t="s">
        <v>403</v>
      </c>
      <c r="C3" s="7" t="s">
        <v>10</v>
      </c>
      <c r="D3" s="11" t="s">
        <v>404</v>
      </c>
    </row>
    <row r="4" customFormat="false" ht="15" hidden="false" customHeight="true" outlineLevel="0" collapsed="false">
      <c r="A4" s="8" t="s">
        <v>392</v>
      </c>
      <c r="B4" s="8" t="s">
        <v>405</v>
      </c>
      <c r="C4" s="7" t="s">
        <v>406</v>
      </c>
      <c r="D4" s="14" t="s">
        <v>407</v>
      </c>
    </row>
    <row r="5" customFormat="false" ht="15" hidden="false" customHeight="true" outlineLevel="0" collapsed="false">
      <c r="A5" s="8" t="s">
        <v>30</v>
      </c>
      <c r="B5" s="8" t="s">
        <v>408</v>
      </c>
      <c r="C5" s="8" t="s">
        <v>409</v>
      </c>
      <c r="D5" s="14" t="s">
        <v>410</v>
      </c>
    </row>
    <row r="6" customFormat="false" ht="15" hidden="false" customHeight="true" outlineLevel="0" collapsed="false">
      <c r="A6" s="7" t="s">
        <v>411</v>
      </c>
      <c r="B6" s="8" t="s">
        <v>412</v>
      </c>
      <c r="C6" s="7" t="s">
        <v>93</v>
      </c>
      <c r="D6" s="11" t="s">
        <v>413</v>
      </c>
    </row>
    <row r="7" customFormat="false" ht="15" hidden="false" customHeight="true" outlineLevel="0" collapsed="false">
      <c r="A7" s="7" t="s">
        <v>41</v>
      </c>
      <c r="B7" s="8" t="s">
        <v>414</v>
      </c>
      <c r="C7" s="7" t="s">
        <v>39</v>
      </c>
      <c r="D7" s="14" t="s">
        <v>415</v>
      </c>
    </row>
    <row r="8" customFormat="false" ht="15" hidden="false" customHeight="true" outlineLevel="0" collapsed="false">
      <c r="A8" s="8" t="s">
        <v>416</v>
      </c>
      <c r="B8" s="8" t="s">
        <v>417</v>
      </c>
      <c r="C8" s="7" t="s">
        <v>48</v>
      </c>
      <c r="D8" s="14" t="s">
        <v>418</v>
      </c>
    </row>
    <row r="9" customFormat="false" ht="15" hidden="false" customHeight="true" outlineLevel="0" collapsed="false">
      <c r="A9" s="8" t="s">
        <v>46</v>
      </c>
      <c r="B9" s="8" t="s">
        <v>419</v>
      </c>
      <c r="C9" s="7" t="s">
        <v>44</v>
      </c>
      <c r="D9" s="11" t="s">
        <v>420</v>
      </c>
    </row>
    <row r="10" customFormat="false" ht="15" hidden="false" customHeight="true" outlineLevel="0" collapsed="false">
      <c r="A10" s="7" t="s">
        <v>54</v>
      </c>
      <c r="B10" s="8" t="s">
        <v>419</v>
      </c>
      <c r="C10" s="7" t="s">
        <v>52</v>
      </c>
      <c r="D10" s="14" t="s">
        <v>421</v>
      </c>
    </row>
    <row r="11" customFormat="false" ht="15" hidden="false" customHeight="true" outlineLevel="0" collapsed="false">
      <c r="A11" s="8" t="s">
        <v>58</v>
      </c>
      <c r="B11" s="8" t="s">
        <v>419</v>
      </c>
      <c r="C11" s="7" t="s">
        <v>56</v>
      </c>
      <c r="D11" s="14" t="s">
        <v>422</v>
      </c>
    </row>
    <row r="12" customFormat="false" ht="15" hidden="false" customHeight="true" outlineLevel="0" collapsed="false">
      <c r="A12" s="8" t="s">
        <v>423</v>
      </c>
      <c r="B12" s="7" t="s">
        <v>424</v>
      </c>
      <c r="C12" s="7" t="s">
        <v>60</v>
      </c>
      <c r="D12" s="11" t="s">
        <v>425</v>
      </c>
    </row>
    <row r="13" customFormat="false" ht="15" hidden="false" customHeight="true" outlineLevel="0" collapsed="false">
      <c r="A13" s="7" t="s">
        <v>102</v>
      </c>
      <c r="B13" s="8" t="s">
        <v>419</v>
      </c>
      <c r="C13" s="7" t="s">
        <v>100</v>
      </c>
      <c r="D13" s="11" t="s">
        <v>426</v>
      </c>
    </row>
    <row r="14" customFormat="false" ht="15" hidden="false" customHeight="true" outlineLevel="0" collapsed="false">
      <c r="A14" s="8" t="s">
        <v>107</v>
      </c>
      <c r="B14" s="7" t="s">
        <v>427</v>
      </c>
      <c r="C14" s="7" t="s">
        <v>105</v>
      </c>
      <c r="D14" s="11" t="s">
        <v>428</v>
      </c>
    </row>
    <row r="15" customFormat="false" ht="15" hidden="false" customHeight="true" outlineLevel="0" collapsed="false">
      <c r="A15" s="8" t="s">
        <v>429</v>
      </c>
      <c r="B15" s="8" t="s">
        <v>430</v>
      </c>
      <c r="C15" s="8" t="s">
        <v>109</v>
      </c>
      <c r="D15" s="14" t="s">
        <v>431</v>
      </c>
    </row>
    <row r="16" customFormat="false" ht="15" hidden="false" customHeight="true" outlineLevel="0" collapsed="false">
      <c r="A16" s="8" t="s">
        <v>160</v>
      </c>
      <c r="B16" s="8" t="s">
        <v>432</v>
      </c>
      <c r="C16" s="8" t="s">
        <v>433</v>
      </c>
      <c r="D16" s="14" t="s">
        <v>434</v>
      </c>
    </row>
    <row r="17" customFormat="false" ht="15" hidden="false" customHeight="true" outlineLevel="0" collapsed="false">
      <c r="A17" s="8" t="s">
        <v>123</v>
      </c>
      <c r="B17" s="7" t="s">
        <v>435</v>
      </c>
      <c r="C17" s="7" t="s">
        <v>121</v>
      </c>
      <c r="D17" s="11"/>
    </row>
    <row r="18" customFormat="false" ht="15" hidden="false" customHeight="true" outlineLevel="0" collapsed="false">
      <c r="A18" s="8" t="s">
        <v>91</v>
      </c>
      <c r="B18" s="8" t="s">
        <v>432</v>
      </c>
      <c r="C18" s="7" t="s">
        <v>436</v>
      </c>
      <c r="D18" s="11"/>
    </row>
    <row r="19" customFormat="false" ht="15" hidden="false" customHeight="true" outlineLevel="0" collapsed="false">
      <c r="A19" s="8" t="s">
        <v>79</v>
      </c>
      <c r="B19" s="8" t="s">
        <v>408</v>
      </c>
      <c r="C19" s="8" t="s">
        <v>77</v>
      </c>
      <c r="D19" s="14" t="s">
        <v>437</v>
      </c>
    </row>
    <row r="20" customFormat="false" ht="15" hidden="false" customHeight="true" outlineLevel="0" collapsed="false">
      <c r="A20" s="8" t="s">
        <v>241</v>
      </c>
      <c r="B20" s="8" t="s">
        <v>438</v>
      </c>
      <c r="C20" s="7" t="s">
        <v>239</v>
      </c>
      <c r="D20" s="11"/>
    </row>
    <row r="21" customFormat="false" ht="15" hidden="false" customHeight="true" outlineLevel="0" collapsed="false">
      <c r="A21" s="8" t="s">
        <v>225</v>
      </c>
      <c r="B21" s="8" t="s">
        <v>432</v>
      </c>
      <c r="C21" s="7" t="s">
        <v>439</v>
      </c>
      <c r="D21" s="11"/>
    </row>
    <row r="22" customFormat="false" ht="15" hidden="false" customHeight="true" outlineLevel="0" collapsed="false">
      <c r="A22" s="8" t="s">
        <v>204</v>
      </c>
      <c r="B22" s="8" t="s">
        <v>432</v>
      </c>
      <c r="C22" s="7" t="s">
        <v>440</v>
      </c>
      <c r="D22" s="11"/>
    </row>
    <row r="23" customFormat="false" ht="15" hidden="false" customHeight="true" outlineLevel="0" collapsed="false">
      <c r="A23" s="8" t="s">
        <v>147</v>
      </c>
      <c r="B23" s="8" t="s">
        <v>432</v>
      </c>
      <c r="C23" s="8" t="s">
        <v>441</v>
      </c>
      <c r="D23" s="11"/>
    </row>
    <row r="24" customFormat="false" ht="15" hidden="false" customHeight="true" outlineLevel="0" collapsed="false">
      <c r="A24" s="8" t="s">
        <v>216</v>
      </c>
      <c r="B24" s="8" t="s">
        <v>442</v>
      </c>
      <c r="C24" s="7" t="s">
        <v>215</v>
      </c>
      <c r="D24" s="14" t="s">
        <v>443</v>
      </c>
    </row>
    <row r="25" customFormat="false" ht="15" hidden="false" customHeight="true" outlineLevel="0" collapsed="false">
      <c r="A25" s="8" t="s">
        <v>131</v>
      </c>
      <c r="B25" s="8" t="s">
        <v>444</v>
      </c>
      <c r="C25" s="7" t="s">
        <v>129</v>
      </c>
      <c r="D25" s="11"/>
    </row>
    <row r="26" customFormat="false" ht="15" hidden="false" customHeight="true" outlineLevel="0" collapsed="false">
      <c r="A26" s="8" t="s">
        <v>141</v>
      </c>
      <c r="B26" s="8" t="s">
        <v>445</v>
      </c>
      <c r="C26" s="7" t="s">
        <v>139</v>
      </c>
      <c r="D26" s="11"/>
    </row>
    <row r="27" customFormat="false" ht="15" hidden="false" customHeight="true" outlineLevel="0" collapsed="false">
      <c r="A27" s="8" t="s">
        <v>154</v>
      </c>
      <c r="B27" s="8" t="s">
        <v>445</v>
      </c>
      <c r="C27" s="8" t="s">
        <v>152</v>
      </c>
      <c r="D27" s="11"/>
    </row>
    <row r="28" customFormat="false" ht="15" hidden="false" customHeight="true" outlineLevel="0" collapsed="false">
      <c r="A28" s="8" t="s">
        <v>257</v>
      </c>
      <c r="B28" s="8" t="s">
        <v>408</v>
      </c>
      <c r="C28" s="8" t="s">
        <v>255</v>
      </c>
      <c r="D28" s="11"/>
    </row>
    <row r="29" customFormat="false" ht="15" hidden="false" customHeight="true" outlineLevel="0" collapsed="false">
      <c r="A29" s="8" t="s">
        <v>446</v>
      </c>
      <c r="B29" s="7" t="s">
        <v>435</v>
      </c>
      <c r="C29" s="7" t="s">
        <v>189</v>
      </c>
      <c r="D29" s="11" t="s">
        <v>447</v>
      </c>
    </row>
    <row r="30" customFormat="false" ht="15" hidden="false" customHeight="true" outlineLevel="0" collapsed="false">
      <c r="A30" s="8" t="s">
        <v>448</v>
      </c>
      <c r="B30" s="7" t="s">
        <v>449</v>
      </c>
      <c r="C30" s="8" t="s">
        <v>450</v>
      </c>
      <c r="D30" s="14" t="s">
        <v>451</v>
      </c>
    </row>
    <row r="31" customFormat="false" ht="15" hidden="false" customHeight="true" outlineLevel="0" collapsed="false">
      <c r="A31" s="7" t="s">
        <v>306</v>
      </c>
      <c r="B31" s="8" t="s">
        <v>452</v>
      </c>
      <c r="C31" s="8" t="s">
        <v>304</v>
      </c>
      <c r="D31" s="14" t="s">
        <v>453</v>
      </c>
    </row>
    <row r="32" customFormat="false" ht="15" hidden="false" customHeight="true" outlineLevel="0" collapsed="false">
      <c r="A32" s="7" t="s">
        <v>221</v>
      </c>
      <c r="B32" s="8" t="s">
        <v>452</v>
      </c>
      <c r="C32" s="7" t="s">
        <v>219</v>
      </c>
      <c r="D32" s="14" t="s">
        <v>454</v>
      </c>
    </row>
    <row r="33" customFormat="false" ht="15" hidden="false" customHeight="true" outlineLevel="0" collapsed="false">
      <c r="A33" s="8" t="s">
        <v>35</v>
      </c>
      <c r="B33" s="7" t="s">
        <v>455</v>
      </c>
      <c r="C33" s="7" t="s">
        <v>33</v>
      </c>
      <c r="D33" s="14" t="s">
        <v>456</v>
      </c>
    </row>
    <row r="34" customFormat="false" ht="15" hidden="false" customHeight="true" outlineLevel="0" collapsed="false">
      <c r="A34" s="7" t="s">
        <v>457</v>
      </c>
      <c r="B34" s="8" t="s">
        <v>458</v>
      </c>
      <c r="C34" s="8" t="s">
        <v>459</v>
      </c>
      <c r="D34" s="11" t="s">
        <v>460</v>
      </c>
    </row>
    <row r="35" customFormat="false" ht="15" hidden="false" customHeight="true" outlineLevel="0" collapsed="false">
      <c r="A35" s="7" t="s">
        <v>75</v>
      </c>
      <c r="B35" s="8" t="s">
        <v>461</v>
      </c>
      <c r="C35" s="7" t="s">
        <v>73</v>
      </c>
      <c r="D35" s="14" t="s">
        <v>462</v>
      </c>
    </row>
    <row r="36" customFormat="false" ht="15" hidden="false" customHeight="true" outlineLevel="0" collapsed="false">
      <c r="A36" s="23" t="s">
        <v>463</v>
      </c>
      <c r="B36" s="23" t="s">
        <v>464</v>
      </c>
      <c r="C36" s="24" t="s">
        <v>289</v>
      </c>
      <c r="D36" s="24" t="s">
        <v>465</v>
      </c>
    </row>
    <row r="37" customFormat="false" ht="15" hidden="false" customHeight="true" outlineLevel="0" collapsed="false">
      <c r="A37" s="23" t="s">
        <v>279</v>
      </c>
      <c r="B37" s="23" t="s">
        <v>466</v>
      </c>
      <c r="C37" s="24" t="s">
        <v>467</v>
      </c>
      <c r="D37" s="24" t="s">
        <v>468</v>
      </c>
    </row>
    <row r="38" customFormat="false" ht="15" hidden="false" customHeight="true" outlineLevel="0" collapsed="false">
      <c r="A38" s="23" t="s">
        <v>469</v>
      </c>
      <c r="B38" s="23" t="s">
        <v>470</v>
      </c>
      <c r="C38" s="24" t="s">
        <v>471</v>
      </c>
      <c r="D38" s="24" t="s">
        <v>472</v>
      </c>
    </row>
    <row r="39" customFormat="false" ht="15" hidden="false" customHeight="true" outlineLevel="0" collapsed="false">
      <c r="A39" s="23" t="s">
        <v>287</v>
      </c>
      <c r="B39" s="23" t="s">
        <v>473</v>
      </c>
      <c r="C39" s="24" t="s">
        <v>474</v>
      </c>
      <c r="D39" s="23" t="s">
        <v>475</v>
      </c>
    </row>
    <row r="40" customFormat="false" ht="15" hidden="false" customHeight="true" outlineLevel="0" collapsed="false">
      <c r="A40" s="23" t="s">
        <v>283</v>
      </c>
      <c r="B40" s="23" t="s">
        <v>419</v>
      </c>
      <c r="C40" s="24" t="s">
        <v>476</v>
      </c>
      <c r="D40" s="23" t="s">
        <v>477</v>
      </c>
    </row>
    <row r="41" customFormat="false" ht="15" hidden="false" customHeight="true" outlineLevel="0" collapsed="false">
      <c r="A41" s="23" t="s">
        <v>119</v>
      </c>
      <c r="B41" s="23" t="s">
        <v>478</v>
      </c>
      <c r="C41" s="23" t="s">
        <v>479</v>
      </c>
      <c r="D41" s="24" t="s">
        <v>480</v>
      </c>
    </row>
    <row r="42" customFormat="false" ht="15" hidden="false" customHeight="true" outlineLevel="0" collapsed="false">
      <c r="A42" s="23" t="s">
        <v>115</v>
      </c>
      <c r="B42" s="23" t="s">
        <v>481</v>
      </c>
      <c r="C42" s="23" t="s">
        <v>482</v>
      </c>
      <c r="D42" s="23" t="s">
        <v>483</v>
      </c>
    </row>
    <row r="43" customFormat="false" ht="15" hidden="false" customHeight="true" outlineLevel="0" collapsed="false">
      <c r="A43" s="24" t="s">
        <v>484</v>
      </c>
      <c r="B43" s="23" t="s">
        <v>485</v>
      </c>
      <c r="C43" s="23" t="s">
        <v>486</v>
      </c>
      <c r="D43" s="23" t="s">
        <v>487</v>
      </c>
    </row>
    <row r="44" customFormat="false" ht="15" hidden="false" customHeight="true" outlineLevel="0" collapsed="false">
      <c r="A44" s="23" t="s">
        <v>488</v>
      </c>
      <c r="B44" s="23" t="s">
        <v>419</v>
      </c>
      <c r="C44" s="24" t="s">
        <v>68</v>
      </c>
      <c r="D44" s="23" t="s">
        <v>489</v>
      </c>
    </row>
    <row r="45" customFormat="false" ht="15" hidden="false" customHeight="true" outlineLevel="0" collapsed="false">
      <c r="A45" s="23" t="s">
        <v>490</v>
      </c>
      <c r="B45" s="23" t="s">
        <v>491</v>
      </c>
      <c r="C45" s="23" t="s">
        <v>64</v>
      </c>
      <c r="D45" s="23" t="s">
        <v>492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2"/>
  </cols>
  <sheetData>
    <row r="1" customFormat="false" ht="25.5" hidden="false" customHeight="true" outlineLevel="0" collapsed="false">
      <c r="A1" s="2" t="s">
        <v>493</v>
      </c>
      <c r="B1" s="2"/>
    </row>
    <row r="3" customFormat="false" ht="15" hidden="false" customHeight="true" outlineLevel="0" collapsed="false">
      <c r="A3" s="25" t="s">
        <v>494</v>
      </c>
      <c r="B3" s="6" t="n">
        <f aca="false">COUNTA('버추얼 그룹 전수목록'!B4:B126)</f>
        <v>123</v>
      </c>
    </row>
    <row r="4" customFormat="false" ht="15" hidden="false" customHeight="true" outlineLevel="0" collapsed="false">
      <c r="A4" s="25" t="s">
        <v>15</v>
      </c>
      <c r="B4" s="6" t="n">
        <f aca="false">COUNTIF('버추얼 그룹 전수목록'!G4:G126,"활동중")</f>
        <v>77</v>
      </c>
    </row>
    <row r="5" customFormat="false" ht="15" hidden="false" customHeight="true" outlineLevel="0" collapsed="false">
      <c r="A5" s="25" t="s">
        <v>495</v>
      </c>
      <c r="B5" s="6" t="n">
        <f aca="false">COUNTIF('버추얼 그룹 전수목록'!G4:G126,"해체/종료")</f>
        <v>39</v>
      </c>
    </row>
    <row r="6" customFormat="false" ht="15" hidden="false" customHeight="true" outlineLevel="0" collapsed="false">
      <c r="A6" s="25" t="s">
        <v>192</v>
      </c>
      <c r="B6" s="6" t="n">
        <f aca="false">COUNTIF('버추얼 그룹 전수목록'!G4:G126,"전환")</f>
        <v>1</v>
      </c>
    </row>
    <row r="7" customFormat="false" ht="15" hidden="false" customHeight="true" outlineLevel="0" collapsed="false">
      <c r="A7" s="25" t="s">
        <v>496</v>
      </c>
      <c r="B7" s="6" t="n">
        <f aca="false">COUNTIF('버추얼 그룹 전수목록'!G4:G126,"확인필요")</f>
        <v>2</v>
      </c>
    </row>
    <row r="8" customFormat="false" ht="15" hidden="false" customHeight="true" outlineLevel="0" collapsed="false">
      <c r="A8" s="26" t="s">
        <v>497</v>
      </c>
      <c r="B8" s="27" t="n">
        <f aca="false">COUNTIF('버추얼 그룹 전수목록'!G4:G126,"휴면")</f>
        <v>4</v>
      </c>
    </row>
    <row r="9" customFormat="false" ht="15" hidden="false" customHeight="true" outlineLevel="0" collapsed="false">
      <c r="A9" s="25" t="s">
        <v>498</v>
      </c>
      <c r="B9" s="6"/>
    </row>
    <row r="10" customFormat="false" ht="15" hidden="false" customHeight="true" outlineLevel="0" collapsed="false">
      <c r="A10" s="25" t="s">
        <v>499</v>
      </c>
      <c r="B10" s="6" t="n">
        <f aca="false">COUNTIF('버추얼 그룹 전수목록'!F4:F126,"음반/아이돌형")</f>
        <v>23</v>
      </c>
    </row>
    <row r="11" customFormat="false" ht="15" hidden="false" customHeight="true" outlineLevel="0" collapsed="false">
      <c r="A11" s="25" t="s">
        <v>500</v>
      </c>
      <c r="B11" s="6" t="n">
        <f aca="false">COUNTIF('버추얼 그룹 전수목록'!F4:F126,"버추얼휴먼/솔로")</f>
        <v>6</v>
      </c>
    </row>
    <row r="12" customFormat="false" ht="15" hidden="false" customHeight="true" outlineLevel="0" collapsed="false">
      <c r="A12" s="25" t="s">
        <v>501</v>
      </c>
      <c r="B12" s="6" t="n">
        <f aca="false">COUNTIF('버추얼 그룹 전수목록'!F4:F126,"스트리밍/MCN형")</f>
        <v>92</v>
      </c>
    </row>
    <row r="13" customFormat="false" ht="15" hidden="false" customHeight="true" outlineLevel="0" collapsed="false">
      <c r="A13" s="25" t="s">
        <v>26</v>
      </c>
      <c r="B13" s="6" t="n">
        <f aca="false">COUNTIF('버추얼 그룹 전수목록'!F4:F126,"혼합형")</f>
        <v>2</v>
      </c>
    </row>
  </sheetData>
  <mergeCells count="1">
    <mergeCell ref="A1:B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28"/>
    <col collapsed="false" customWidth="true" hidden="false" outlineLevel="0" max="3" min="3" style="1" width="18"/>
    <col collapsed="false" customWidth="true" hidden="false" outlineLevel="0" max="4" min="4" style="1" width="16"/>
    <col collapsed="false" customWidth="true" hidden="false" outlineLevel="0" max="5" min="5" style="1" width="42"/>
  </cols>
  <sheetData>
    <row r="1" customFormat="false" ht="25.5" hidden="false" customHeight="true" outlineLevel="0" collapsed="false">
      <c r="A1" s="28" t="s">
        <v>502</v>
      </c>
      <c r="B1" s="28"/>
      <c r="C1" s="28"/>
      <c r="D1" s="28"/>
      <c r="E1" s="28"/>
    </row>
    <row r="2" customFormat="false" ht="21.75" hidden="false" customHeight="true" outlineLevel="0" collapsed="false">
      <c r="A2" s="22" t="s">
        <v>503</v>
      </c>
      <c r="B2" s="22" t="s">
        <v>5</v>
      </c>
      <c r="C2" s="22" t="s">
        <v>8</v>
      </c>
      <c r="D2" s="22" t="s">
        <v>504</v>
      </c>
      <c r="E2" s="22" t="s">
        <v>9</v>
      </c>
    </row>
    <row r="3" customFormat="false" ht="29.25" hidden="false" customHeight="true" outlineLevel="0" collapsed="false">
      <c r="A3" s="7" t="s">
        <v>505</v>
      </c>
      <c r="B3" s="7" t="s">
        <v>41</v>
      </c>
      <c r="C3" s="8" t="s">
        <v>506</v>
      </c>
      <c r="D3" s="7" t="s">
        <v>507</v>
      </c>
      <c r="E3" s="14" t="s">
        <v>508</v>
      </c>
    </row>
    <row r="4" customFormat="false" ht="15" hidden="false" customHeight="true" outlineLevel="0" collapsed="false">
      <c r="A4" s="7" t="s">
        <v>509</v>
      </c>
      <c r="B4" s="7" t="s">
        <v>41</v>
      </c>
      <c r="C4" s="8" t="s">
        <v>510</v>
      </c>
      <c r="D4" s="7" t="s">
        <v>511</v>
      </c>
      <c r="E4" s="14" t="s">
        <v>512</v>
      </c>
    </row>
    <row r="5" customFormat="false" ht="15" hidden="false" customHeight="true" outlineLevel="0" collapsed="false">
      <c r="A5" s="8" t="s">
        <v>513</v>
      </c>
      <c r="B5" s="7" t="s">
        <v>514</v>
      </c>
      <c r="C5" s="8" t="s">
        <v>515</v>
      </c>
      <c r="D5" s="7" t="s">
        <v>516</v>
      </c>
      <c r="E5" s="11" t="s">
        <v>517</v>
      </c>
    </row>
    <row r="6" customFormat="false" ht="15" hidden="false" customHeight="true" outlineLevel="0" collapsed="false">
      <c r="A6" s="8" t="s">
        <v>518</v>
      </c>
      <c r="B6" s="8" t="s">
        <v>298</v>
      </c>
      <c r="C6" s="8" t="s">
        <v>515</v>
      </c>
      <c r="D6" s="7" t="s">
        <v>519</v>
      </c>
      <c r="E6" s="11" t="s">
        <v>520</v>
      </c>
    </row>
    <row r="7" customFormat="false" ht="15" hidden="false" customHeight="true" outlineLevel="0" collapsed="false">
      <c r="A7" s="7" t="s">
        <v>521</v>
      </c>
      <c r="B7" s="8" t="s">
        <v>127</v>
      </c>
      <c r="C7" s="8" t="s">
        <v>515</v>
      </c>
      <c r="D7" s="7" t="s">
        <v>522</v>
      </c>
      <c r="E7" s="11" t="s">
        <v>523</v>
      </c>
    </row>
    <row r="8" customFormat="false" ht="15" hidden="false" customHeight="true" outlineLevel="0" collapsed="false">
      <c r="A8" s="8" t="s">
        <v>524</v>
      </c>
      <c r="B8" s="8" t="s">
        <v>525</v>
      </c>
      <c r="C8" s="8" t="s">
        <v>515</v>
      </c>
      <c r="D8" s="7" t="s">
        <v>526</v>
      </c>
      <c r="E8" s="11" t="s">
        <v>527</v>
      </c>
    </row>
    <row r="9" customFormat="false" ht="15" hidden="false" customHeight="true" outlineLevel="0" collapsed="false">
      <c r="A9" s="8" t="s">
        <v>528</v>
      </c>
      <c r="B9" s="7" t="s">
        <v>54</v>
      </c>
      <c r="C9" s="8" t="s">
        <v>515</v>
      </c>
      <c r="D9" s="7" t="s">
        <v>529</v>
      </c>
      <c r="E9" s="11" t="s">
        <v>530</v>
      </c>
    </row>
    <row r="10" customFormat="false" ht="15" hidden="false" customHeight="true" outlineLevel="0" collapsed="false">
      <c r="A10" s="8" t="s">
        <v>531</v>
      </c>
      <c r="B10" s="8" t="s">
        <v>271</v>
      </c>
      <c r="C10" s="8" t="s">
        <v>532</v>
      </c>
      <c r="D10" s="7" t="s">
        <v>533</v>
      </c>
      <c r="E10" s="14" t="s">
        <v>534</v>
      </c>
    </row>
    <row r="11" customFormat="false" ht="15" hidden="false" customHeight="true" outlineLevel="0" collapsed="false">
      <c r="A11" s="8" t="s">
        <v>535</v>
      </c>
      <c r="B11" s="7" t="s">
        <v>514</v>
      </c>
      <c r="C11" s="8" t="s">
        <v>536</v>
      </c>
      <c r="D11" s="7" t="s">
        <v>537</v>
      </c>
      <c r="E11" s="11" t="s">
        <v>538</v>
      </c>
    </row>
    <row r="12" customFormat="false" ht="15" hidden="false" customHeight="true" outlineLevel="0" collapsed="false">
      <c r="A12" s="8" t="s">
        <v>64</v>
      </c>
      <c r="B12" s="7" t="s">
        <v>514</v>
      </c>
      <c r="C12" s="8" t="s">
        <v>515</v>
      </c>
      <c r="D12" s="7" t="s">
        <v>42</v>
      </c>
      <c r="E12" s="14" t="s">
        <v>539</v>
      </c>
    </row>
  </sheetData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3" topLeftCell="A1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0"/>
    <col collapsed="false" customWidth="true" hidden="false" outlineLevel="0" max="3" min="3" style="1" width="16"/>
    <col collapsed="false" customWidth="true" hidden="false" outlineLevel="0" max="4" min="4" style="1" width="18"/>
    <col collapsed="false" customWidth="true" hidden="false" outlineLevel="0" max="5" min="5" style="1" width="16"/>
    <col collapsed="false" customWidth="true" hidden="false" outlineLevel="0" max="6" min="6" style="1" width="52"/>
  </cols>
  <sheetData>
    <row r="1" customFormat="false" ht="25.5" hidden="false" customHeight="true" outlineLevel="0" collapsed="false">
      <c r="A1" s="2" t="s">
        <v>540</v>
      </c>
      <c r="B1" s="2"/>
      <c r="C1" s="2"/>
      <c r="D1" s="2"/>
      <c r="E1" s="2"/>
      <c r="F1" s="2"/>
    </row>
    <row r="2" customFormat="false" ht="15.75" hidden="false" customHeight="true" outlineLevel="0" collapsed="false">
      <c r="A2" s="29" t="s">
        <v>541</v>
      </c>
      <c r="B2" s="29"/>
      <c r="C2" s="29"/>
      <c r="D2" s="29"/>
      <c r="E2" s="29"/>
      <c r="F2" s="29"/>
    </row>
    <row r="3" customFormat="false" ht="15.75" hidden="false" customHeight="true" outlineLevel="0" collapsed="false">
      <c r="A3" s="29" t="s">
        <v>542</v>
      </c>
      <c r="B3" s="29"/>
      <c r="C3" s="29"/>
      <c r="D3" s="29"/>
      <c r="E3" s="29"/>
      <c r="F3" s="29"/>
    </row>
    <row r="4" customFormat="false" ht="18" hidden="false" customHeight="true" outlineLevel="0" collapsed="false">
      <c r="A4" s="29" t="s">
        <v>543</v>
      </c>
      <c r="B4" s="29"/>
      <c r="C4" s="29"/>
      <c r="D4" s="29"/>
      <c r="E4" s="29"/>
      <c r="F4" s="29"/>
    </row>
    <row r="5" customFormat="false" ht="15.75" hidden="false" customHeight="true" outlineLevel="0" collapsed="false">
      <c r="A5" s="30" t="s">
        <v>544</v>
      </c>
      <c r="B5" s="30"/>
      <c r="C5" s="30"/>
      <c r="D5" s="30"/>
      <c r="E5" s="30"/>
      <c r="F5" s="30"/>
    </row>
    <row r="6" customFormat="false" ht="15.75" hidden="false" customHeight="true" outlineLevel="0" collapsed="false">
      <c r="A6" s="30" t="s">
        <v>545</v>
      </c>
      <c r="B6" s="30"/>
      <c r="C6" s="30"/>
      <c r="D6" s="30"/>
      <c r="E6" s="30"/>
      <c r="F6" s="30"/>
    </row>
    <row r="7" customFormat="false" ht="15.75" hidden="false" customHeight="true" outlineLevel="0" collapsed="false">
      <c r="A7" s="30" t="s">
        <v>546</v>
      </c>
      <c r="B7" s="30"/>
      <c r="C7" s="30"/>
      <c r="D7" s="30"/>
      <c r="E7" s="30"/>
      <c r="F7" s="30"/>
    </row>
    <row r="8" customFormat="false" ht="15.75" hidden="false" customHeight="true" outlineLevel="0" collapsed="false">
      <c r="A8" s="30" t="s">
        <v>547</v>
      </c>
      <c r="B8" s="30"/>
      <c r="C8" s="30"/>
      <c r="D8" s="30"/>
      <c r="E8" s="30"/>
      <c r="F8" s="30"/>
    </row>
    <row r="9" customFormat="false" ht="15.75" hidden="false" customHeight="true" outlineLevel="0" collapsed="false">
      <c r="A9" s="30" t="s">
        <v>548</v>
      </c>
      <c r="B9" s="30"/>
      <c r="C9" s="30"/>
      <c r="D9" s="30"/>
      <c r="E9" s="30"/>
      <c r="F9" s="30"/>
    </row>
    <row r="10" customFormat="false" ht="15.75" hidden="false" customHeight="true" outlineLevel="0" collapsed="false">
      <c r="A10" s="29" t="s">
        <v>549</v>
      </c>
      <c r="B10" s="29"/>
      <c r="C10" s="29"/>
      <c r="D10" s="29"/>
      <c r="E10" s="29"/>
      <c r="F10" s="29"/>
    </row>
    <row r="11" customFormat="false" ht="15.75" hidden="false" customHeight="true" outlineLevel="0" collapsed="false">
      <c r="A11" s="29" t="s">
        <v>550</v>
      </c>
      <c r="B11" s="29"/>
      <c r="C11" s="29"/>
      <c r="D11" s="29"/>
      <c r="E11" s="29"/>
      <c r="F11" s="29"/>
    </row>
    <row r="13" customFormat="false" ht="21.75" hidden="false" customHeight="true" outlineLevel="0" collapsed="false">
      <c r="A13" s="5" t="s">
        <v>551</v>
      </c>
      <c r="B13" s="5" t="s">
        <v>552</v>
      </c>
      <c r="C13" s="5" t="s">
        <v>553</v>
      </c>
      <c r="D13" s="5" t="s">
        <v>554</v>
      </c>
      <c r="E13" s="5" t="s">
        <v>555</v>
      </c>
      <c r="F13" s="5" t="s">
        <v>556</v>
      </c>
    </row>
    <row r="14" customFormat="false" ht="29.25" hidden="false" customHeight="true" outlineLevel="0" collapsed="false">
      <c r="A14" s="8" t="s">
        <v>557</v>
      </c>
      <c r="B14" s="7" t="s">
        <v>558</v>
      </c>
      <c r="C14" s="8" t="s">
        <v>559</v>
      </c>
      <c r="D14" s="11" t="s">
        <v>560</v>
      </c>
      <c r="E14" s="8" t="s">
        <v>561</v>
      </c>
      <c r="F14" s="14" t="s">
        <v>562</v>
      </c>
    </row>
    <row r="15" customFormat="false" ht="15" hidden="false" customHeight="true" outlineLevel="0" collapsed="false">
      <c r="A15" s="8" t="s">
        <v>563</v>
      </c>
      <c r="B15" s="7" t="s">
        <v>564</v>
      </c>
      <c r="C15" s="8" t="s">
        <v>565</v>
      </c>
      <c r="D15" s="14" t="s">
        <v>566</v>
      </c>
      <c r="E15" s="7" t="s">
        <v>567</v>
      </c>
      <c r="F15" s="14" t="s">
        <v>568</v>
      </c>
    </row>
    <row r="16" customFormat="false" ht="15" hidden="false" customHeight="true" outlineLevel="0" collapsed="false">
      <c r="A16" s="8" t="s">
        <v>569</v>
      </c>
      <c r="B16" s="7" t="s">
        <v>570</v>
      </c>
      <c r="C16" s="8" t="s">
        <v>571</v>
      </c>
      <c r="D16" s="14" t="s">
        <v>572</v>
      </c>
      <c r="E16" s="7" t="s">
        <v>567</v>
      </c>
      <c r="F16" s="14" t="s">
        <v>573</v>
      </c>
    </row>
    <row r="17" customFormat="false" ht="15" hidden="false" customHeight="true" outlineLevel="0" collapsed="false">
      <c r="A17" s="8" t="s">
        <v>574</v>
      </c>
      <c r="B17" s="7" t="s">
        <v>575</v>
      </c>
      <c r="C17" s="8" t="s">
        <v>571</v>
      </c>
      <c r="D17" s="14" t="s">
        <v>576</v>
      </c>
      <c r="E17" s="7" t="s">
        <v>567</v>
      </c>
      <c r="F17" s="14" t="s">
        <v>577</v>
      </c>
    </row>
    <row r="18" customFormat="false" ht="15" hidden="false" customHeight="true" outlineLevel="0" collapsed="false">
      <c r="A18" s="8" t="s">
        <v>578</v>
      </c>
      <c r="B18" s="7" t="s">
        <v>579</v>
      </c>
      <c r="C18" s="8" t="s">
        <v>571</v>
      </c>
      <c r="D18" s="14" t="s">
        <v>580</v>
      </c>
      <c r="E18" s="7" t="s">
        <v>567</v>
      </c>
      <c r="F18" s="11" t="s">
        <v>581</v>
      </c>
    </row>
    <row r="19" customFormat="false" ht="15" hidden="false" customHeight="true" outlineLevel="0" collapsed="false">
      <c r="A19" s="8" t="s">
        <v>582</v>
      </c>
      <c r="B19" s="7" t="s">
        <v>583</v>
      </c>
      <c r="C19" s="8" t="s">
        <v>584</v>
      </c>
      <c r="D19" s="14" t="s">
        <v>585</v>
      </c>
      <c r="E19" s="7" t="s">
        <v>567</v>
      </c>
      <c r="F19" s="11" t="s">
        <v>586</v>
      </c>
    </row>
    <row r="20" customFormat="false" ht="15" hidden="false" customHeight="true" outlineLevel="0" collapsed="false">
      <c r="A20" s="8" t="s">
        <v>587</v>
      </c>
      <c r="B20" s="7" t="s">
        <v>588</v>
      </c>
      <c r="C20" s="7" t="s">
        <v>589</v>
      </c>
      <c r="D20" s="14" t="s">
        <v>576</v>
      </c>
      <c r="E20" s="7" t="s">
        <v>567</v>
      </c>
      <c r="F20" s="14" t="s">
        <v>590</v>
      </c>
    </row>
    <row r="21" customFormat="false" ht="15" hidden="false" customHeight="true" outlineLevel="0" collapsed="false">
      <c r="A21" s="8" t="s">
        <v>591</v>
      </c>
      <c r="B21" s="7" t="s">
        <v>592</v>
      </c>
      <c r="C21" s="8" t="s">
        <v>593</v>
      </c>
      <c r="D21" s="14" t="s">
        <v>594</v>
      </c>
      <c r="E21" s="7" t="s">
        <v>567</v>
      </c>
      <c r="F21" s="14" t="s">
        <v>595</v>
      </c>
    </row>
    <row r="22" customFormat="false" ht="15" hidden="false" customHeight="true" outlineLevel="0" collapsed="false">
      <c r="A22" s="8" t="s">
        <v>596</v>
      </c>
      <c r="B22" s="7" t="s">
        <v>514</v>
      </c>
      <c r="C22" s="7" t="s">
        <v>567</v>
      </c>
      <c r="D22" s="14" t="s">
        <v>576</v>
      </c>
      <c r="E22" s="7" t="s">
        <v>567</v>
      </c>
      <c r="F22" s="14" t="s">
        <v>597</v>
      </c>
    </row>
    <row r="23" customFormat="false" ht="15" hidden="false" customHeight="true" outlineLevel="0" collapsed="false">
      <c r="A23" s="8" t="s">
        <v>598</v>
      </c>
      <c r="B23" s="7" t="s">
        <v>599</v>
      </c>
      <c r="C23" s="8" t="s">
        <v>584</v>
      </c>
      <c r="D23" s="14" t="s">
        <v>600</v>
      </c>
      <c r="E23" s="7" t="s">
        <v>567</v>
      </c>
      <c r="F23" s="14" t="s">
        <v>601</v>
      </c>
    </row>
  </sheetData>
  <mergeCells count="11">
    <mergeCell ref="A1:F1"/>
    <mergeCell ref="A2:F2"/>
    <mergeCell ref="A3:F3"/>
    <mergeCell ref="A4:F4"/>
    <mergeCell ref="A5:F5"/>
    <mergeCell ref="A6:F6"/>
    <mergeCell ref="A7:F7"/>
    <mergeCell ref="A8:F8"/>
    <mergeCell ref="A9:F9"/>
    <mergeCell ref="A10:F10"/>
    <mergeCell ref="A11:F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6"/>
    <col collapsed="false" customWidth="true" hidden="false" outlineLevel="0" max="3" min="3" style="1" width="18"/>
    <col collapsed="false" customWidth="true" hidden="false" outlineLevel="0" max="4" min="4" style="1" width="11"/>
    <col collapsed="false" customWidth="true" hidden="false" outlineLevel="0" max="5" min="5" style="1" width="9"/>
    <col collapsed="false" customWidth="true" hidden="false" outlineLevel="0" max="6" min="6" style="1" width="16"/>
    <col collapsed="false" customWidth="true" hidden="false" outlineLevel="0" max="8" min="7" style="1" width="11"/>
    <col collapsed="false" customWidth="true" hidden="false" outlineLevel="0" max="9" min="9" style="1" width="12"/>
    <col collapsed="false" customWidth="true" hidden="false" outlineLevel="0" max="10" min="10" style="1" width="42"/>
  </cols>
  <sheetData>
    <row r="1" customFormat="false" ht="15" hidden="false" customHeight="true" outlineLevel="0" collapsed="false">
      <c r="A1" s="31" t="s">
        <v>602</v>
      </c>
    </row>
    <row r="2" customFormat="false" ht="15" hidden="false" customHeight="true" outlineLevel="0" collapsed="false">
      <c r="A2" s="32" t="s">
        <v>603</v>
      </c>
    </row>
    <row r="4" customFormat="false" ht="15" hidden="false" customHeight="true" outlineLevel="0" collapsed="false">
      <c r="A4" s="33" t="s">
        <v>2</v>
      </c>
      <c r="B4" s="34" t="s">
        <v>551</v>
      </c>
      <c r="C4" s="34" t="s">
        <v>604</v>
      </c>
      <c r="D4" s="34" t="s">
        <v>605</v>
      </c>
      <c r="E4" s="34" t="s">
        <v>553</v>
      </c>
      <c r="F4" s="34" t="s">
        <v>606</v>
      </c>
      <c r="G4" s="34" t="s">
        <v>607</v>
      </c>
      <c r="H4" s="34" t="s">
        <v>608</v>
      </c>
      <c r="I4" s="34" t="s">
        <v>609</v>
      </c>
      <c r="J4" s="34" t="s">
        <v>610</v>
      </c>
    </row>
    <row r="5" customFormat="false" ht="15" hidden="false" customHeight="true" outlineLevel="0" collapsed="false">
      <c r="A5" s="35" t="n">
        <v>1</v>
      </c>
      <c r="B5" s="36" t="s">
        <v>611</v>
      </c>
      <c r="C5" s="36"/>
      <c r="D5" s="37" t="n">
        <v>593000</v>
      </c>
      <c r="E5" s="35" t="s">
        <v>612</v>
      </c>
      <c r="F5" s="35" t="s">
        <v>613</v>
      </c>
      <c r="G5" s="35" t="s">
        <v>614</v>
      </c>
      <c r="H5" s="35" t="s">
        <v>615</v>
      </c>
      <c r="I5" s="38" t="s">
        <v>616</v>
      </c>
      <c r="J5" s="35" t="s">
        <v>617</v>
      </c>
    </row>
    <row r="6" customFormat="false" ht="15" hidden="false" customHeight="true" outlineLevel="0" collapsed="false">
      <c r="A6" s="36" t="n">
        <v>2</v>
      </c>
      <c r="B6" s="36" t="s">
        <v>618</v>
      </c>
      <c r="C6" s="36"/>
      <c r="D6" s="37" t="n">
        <v>557000</v>
      </c>
      <c r="E6" s="35" t="s">
        <v>612</v>
      </c>
      <c r="F6" s="35" t="s">
        <v>613</v>
      </c>
      <c r="G6" s="35" t="s">
        <v>619</v>
      </c>
      <c r="H6" s="35" t="s">
        <v>620</v>
      </c>
      <c r="I6" s="38" t="s">
        <v>616</v>
      </c>
      <c r="J6" s="35" t="s">
        <v>621</v>
      </c>
    </row>
    <row r="7" customFormat="false" ht="15" hidden="false" customHeight="true" outlineLevel="0" collapsed="false">
      <c r="A7" s="36" t="n">
        <v>3</v>
      </c>
      <c r="B7" s="36" t="s">
        <v>622</v>
      </c>
      <c r="C7" s="36"/>
      <c r="D7" s="37" t="n">
        <v>471000</v>
      </c>
      <c r="E7" s="35" t="s">
        <v>612</v>
      </c>
      <c r="F7" s="35" t="s">
        <v>613</v>
      </c>
      <c r="G7" s="35" t="s">
        <v>567</v>
      </c>
      <c r="H7" s="35" t="s">
        <v>620</v>
      </c>
      <c r="I7" s="38" t="s">
        <v>616</v>
      </c>
      <c r="J7" s="35" t="s">
        <v>623</v>
      </c>
    </row>
    <row r="8" customFormat="false" ht="15" hidden="false" customHeight="true" outlineLevel="0" collapsed="false">
      <c r="A8" s="36" t="n">
        <v>4</v>
      </c>
      <c r="B8" s="36" t="s">
        <v>624</v>
      </c>
      <c r="C8" s="36"/>
      <c r="D8" s="37" t="n">
        <v>369000</v>
      </c>
      <c r="E8" s="35" t="s">
        <v>612</v>
      </c>
      <c r="F8" s="35" t="s">
        <v>613</v>
      </c>
      <c r="G8" s="35" t="s">
        <v>567</v>
      </c>
      <c r="H8" s="35" t="s">
        <v>625</v>
      </c>
      <c r="I8" s="38" t="s">
        <v>616</v>
      </c>
      <c r="J8" s="35" t="s">
        <v>626</v>
      </c>
    </row>
    <row r="9" customFormat="false" ht="15" hidden="false" customHeight="true" outlineLevel="0" collapsed="false">
      <c r="A9" s="36" t="n">
        <v>5</v>
      </c>
      <c r="B9" s="36" t="s">
        <v>627</v>
      </c>
      <c r="C9" s="36"/>
      <c r="D9" s="37" t="n">
        <v>344000</v>
      </c>
      <c r="E9" s="35" t="s">
        <v>612</v>
      </c>
      <c r="F9" s="35" t="s">
        <v>613</v>
      </c>
      <c r="G9" s="35" t="s">
        <v>567</v>
      </c>
      <c r="H9" s="35" t="s">
        <v>625</v>
      </c>
      <c r="I9" s="38" t="s">
        <v>616</v>
      </c>
      <c r="J9" s="35" t="s">
        <v>628</v>
      </c>
    </row>
    <row r="10" customFormat="false" ht="15" hidden="false" customHeight="true" outlineLevel="0" collapsed="false">
      <c r="A10" s="36" t="n">
        <v>6</v>
      </c>
      <c r="B10" s="36" t="s">
        <v>629</v>
      </c>
      <c r="C10" s="36"/>
      <c r="D10" s="37" t="n">
        <v>334000</v>
      </c>
      <c r="E10" s="35" t="s">
        <v>612</v>
      </c>
      <c r="F10" s="35" t="s">
        <v>613</v>
      </c>
      <c r="G10" s="35" t="s">
        <v>630</v>
      </c>
      <c r="H10" s="35" t="s">
        <v>615</v>
      </c>
      <c r="I10" s="38" t="s">
        <v>616</v>
      </c>
      <c r="J10" s="35" t="s">
        <v>631</v>
      </c>
    </row>
    <row r="11" customFormat="false" ht="15" hidden="false" customHeight="true" outlineLevel="0" collapsed="false">
      <c r="A11" s="36" t="n">
        <v>7</v>
      </c>
      <c r="B11" s="36" t="s">
        <v>632</v>
      </c>
      <c r="C11" s="36"/>
      <c r="D11" s="37" t="n">
        <v>141000</v>
      </c>
      <c r="E11" s="35" t="s">
        <v>612</v>
      </c>
      <c r="F11" s="35" t="s">
        <v>613</v>
      </c>
      <c r="G11" s="35" t="s">
        <v>633</v>
      </c>
      <c r="H11" s="35" t="s">
        <v>625</v>
      </c>
      <c r="I11" s="38" t="s">
        <v>616</v>
      </c>
      <c r="J11" s="35" t="s">
        <v>634</v>
      </c>
    </row>
    <row r="12" customFormat="false" ht="15" hidden="false" customHeight="true" outlineLevel="0" collapsed="false">
      <c r="A12" s="36" t="n">
        <v>8</v>
      </c>
      <c r="B12" s="36" t="s">
        <v>635</v>
      </c>
      <c r="C12" s="36"/>
      <c r="D12" s="37" t="n">
        <v>141000</v>
      </c>
      <c r="E12" s="35" t="s">
        <v>612</v>
      </c>
      <c r="F12" s="35" t="s">
        <v>613</v>
      </c>
      <c r="G12" s="35" t="s">
        <v>636</v>
      </c>
      <c r="H12" s="35" t="s">
        <v>615</v>
      </c>
      <c r="I12" s="38" t="s">
        <v>616</v>
      </c>
      <c r="J12" s="35" t="s">
        <v>637</v>
      </c>
    </row>
    <row r="13" customFormat="false" ht="15" hidden="false" customHeight="true" outlineLevel="0" collapsed="false">
      <c r="A13" s="36" t="n">
        <v>9</v>
      </c>
      <c r="B13" s="36" t="s">
        <v>638</v>
      </c>
      <c r="C13" s="36"/>
      <c r="D13" s="37" t="n">
        <v>140000</v>
      </c>
      <c r="E13" s="35" t="s">
        <v>612</v>
      </c>
      <c r="F13" s="35" t="s">
        <v>613</v>
      </c>
      <c r="G13" s="35" t="s">
        <v>639</v>
      </c>
      <c r="H13" s="35" t="s">
        <v>625</v>
      </c>
      <c r="I13" s="38" t="s">
        <v>616</v>
      </c>
      <c r="J13" s="35" t="s">
        <v>640</v>
      </c>
    </row>
    <row r="14" customFormat="false" ht="15" hidden="false" customHeight="true" outlineLevel="0" collapsed="false">
      <c r="A14" s="36" t="n">
        <v>10</v>
      </c>
      <c r="B14" s="36" t="s">
        <v>641</v>
      </c>
      <c r="C14" s="36"/>
      <c r="D14" s="37" t="n">
        <v>139000</v>
      </c>
      <c r="E14" s="35" t="s">
        <v>612</v>
      </c>
      <c r="F14" s="35" t="s">
        <v>613</v>
      </c>
      <c r="G14" s="35" t="s">
        <v>642</v>
      </c>
      <c r="H14" s="35" t="s">
        <v>625</v>
      </c>
      <c r="I14" s="38" t="s">
        <v>616</v>
      </c>
      <c r="J14" s="35" t="s">
        <v>643</v>
      </c>
    </row>
    <row r="15" customFormat="false" ht="15" hidden="false" customHeight="true" outlineLevel="0" collapsed="false">
      <c r="A15" s="36" t="n">
        <v>11</v>
      </c>
      <c r="B15" s="36" t="s">
        <v>644</v>
      </c>
      <c r="C15" s="36"/>
      <c r="D15" s="37" t="n">
        <v>138000</v>
      </c>
      <c r="E15" s="35" t="s">
        <v>612</v>
      </c>
      <c r="F15" s="35" t="s">
        <v>613</v>
      </c>
      <c r="G15" s="35" t="s">
        <v>645</v>
      </c>
      <c r="H15" s="35" t="s">
        <v>646</v>
      </c>
      <c r="I15" s="38" t="s">
        <v>616</v>
      </c>
      <c r="J15" s="35" t="s">
        <v>647</v>
      </c>
    </row>
    <row r="16" customFormat="false" ht="15" hidden="false" customHeight="true" outlineLevel="0" collapsed="false">
      <c r="A16" s="36" t="n">
        <v>12</v>
      </c>
      <c r="B16" s="36" t="s">
        <v>648</v>
      </c>
      <c r="C16" s="36"/>
      <c r="D16" s="37" t="n">
        <v>131000</v>
      </c>
      <c r="E16" s="35" t="s">
        <v>612</v>
      </c>
      <c r="F16" s="35" t="s">
        <v>613</v>
      </c>
      <c r="G16" s="35" t="s">
        <v>649</v>
      </c>
      <c r="H16" s="35" t="s">
        <v>625</v>
      </c>
      <c r="I16" s="38" t="s">
        <v>616</v>
      </c>
      <c r="J16" s="35" t="s">
        <v>650</v>
      </c>
    </row>
    <row r="17" customFormat="false" ht="15" hidden="false" customHeight="true" outlineLevel="0" collapsed="false">
      <c r="A17" s="36" t="n">
        <v>13</v>
      </c>
      <c r="B17" s="36" t="s">
        <v>651</v>
      </c>
      <c r="C17" s="36"/>
      <c r="D17" s="37" t="n">
        <v>131000</v>
      </c>
      <c r="E17" s="35" t="s">
        <v>612</v>
      </c>
      <c r="F17" s="35" t="s">
        <v>613</v>
      </c>
      <c r="G17" s="35" t="s">
        <v>652</v>
      </c>
      <c r="H17" s="35" t="s">
        <v>646</v>
      </c>
      <c r="I17" s="38" t="s">
        <v>616</v>
      </c>
      <c r="J17" s="35" t="s">
        <v>653</v>
      </c>
    </row>
    <row r="18" customFormat="false" ht="15" hidden="false" customHeight="true" outlineLevel="0" collapsed="false">
      <c r="A18" s="36" t="n">
        <v>14</v>
      </c>
      <c r="B18" s="36" t="s">
        <v>654</v>
      </c>
      <c r="C18" s="36"/>
      <c r="D18" s="37" t="n">
        <v>129000</v>
      </c>
      <c r="E18" s="35" t="s">
        <v>612</v>
      </c>
      <c r="F18" s="35" t="s">
        <v>613</v>
      </c>
      <c r="G18" s="35" t="s">
        <v>652</v>
      </c>
      <c r="H18" s="35" t="s">
        <v>625</v>
      </c>
      <c r="I18" s="38" t="s">
        <v>616</v>
      </c>
      <c r="J18" s="35" t="s">
        <v>655</v>
      </c>
    </row>
    <row r="19" customFormat="false" ht="15" hidden="false" customHeight="true" outlineLevel="0" collapsed="false">
      <c r="A19" s="36" t="n">
        <v>15</v>
      </c>
      <c r="B19" s="36" t="s">
        <v>656</v>
      </c>
      <c r="C19" s="36"/>
      <c r="D19" s="37" t="n">
        <v>128000</v>
      </c>
      <c r="E19" s="35" t="s">
        <v>612</v>
      </c>
      <c r="F19" s="35" t="s">
        <v>613</v>
      </c>
      <c r="G19" s="35" t="s">
        <v>657</v>
      </c>
      <c r="H19" s="35" t="s">
        <v>625</v>
      </c>
      <c r="I19" s="38" t="s">
        <v>616</v>
      </c>
      <c r="J19" s="35" t="s">
        <v>658</v>
      </c>
    </row>
    <row r="20" customFormat="false" ht="15" hidden="false" customHeight="true" outlineLevel="0" collapsed="false">
      <c r="A20" s="36" t="n">
        <v>16</v>
      </c>
      <c r="B20" s="36" t="s">
        <v>659</v>
      </c>
      <c r="C20" s="35" t="s">
        <v>660</v>
      </c>
      <c r="D20" s="37" t="n">
        <v>114000</v>
      </c>
      <c r="E20" s="35" t="s">
        <v>612</v>
      </c>
      <c r="F20" s="35" t="s">
        <v>613</v>
      </c>
      <c r="G20" s="35" t="s">
        <v>661</v>
      </c>
      <c r="H20" s="35" t="s">
        <v>625</v>
      </c>
      <c r="I20" s="38" t="s">
        <v>616</v>
      </c>
      <c r="J20" s="35" t="s">
        <v>662</v>
      </c>
    </row>
    <row r="21" customFormat="false" ht="15" hidden="false" customHeight="true" outlineLevel="0" collapsed="false">
      <c r="A21" s="36" t="n">
        <v>17</v>
      </c>
      <c r="B21" s="36" t="s">
        <v>663</v>
      </c>
      <c r="C21" s="36"/>
      <c r="D21" s="37" t="n">
        <v>97700</v>
      </c>
      <c r="E21" s="35" t="s">
        <v>612</v>
      </c>
      <c r="F21" s="35" t="s">
        <v>613</v>
      </c>
      <c r="G21" s="35" t="s">
        <v>664</v>
      </c>
      <c r="H21" s="35" t="s">
        <v>625</v>
      </c>
      <c r="I21" s="38" t="s">
        <v>616</v>
      </c>
      <c r="J21" s="35" t="s">
        <v>665</v>
      </c>
    </row>
    <row r="22" customFormat="false" ht="15" hidden="false" customHeight="true" outlineLevel="0" collapsed="false">
      <c r="A22" s="36" t="n">
        <v>18</v>
      </c>
      <c r="B22" s="36" t="s">
        <v>666</v>
      </c>
      <c r="C22" s="36"/>
      <c r="D22" s="37" t="n">
        <v>87900</v>
      </c>
      <c r="E22" s="35" t="s">
        <v>612</v>
      </c>
      <c r="F22" s="35" t="s">
        <v>667</v>
      </c>
      <c r="G22" s="35" t="s">
        <v>668</v>
      </c>
      <c r="H22" s="35" t="s">
        <v>615</v>
      </c>
      <c r="I22" s="38" t="s">
        <v>616</v>
      </c>
      <c r="J22" s="35" t="s">
        <v>669</v>
      </c>
    </row>
    <row r="23" customFormat="false" ht="15" hidden="false" customHeight="true" outlineLevel="0" collapsed="false">
      <c r="A23" s="36" t="n">
        <v>19</v>
      </c>
      <c r="B23" s="36" t="s">
        <v>670</v>
      </c>
      <c r="C23" s="36"/>
      <c r="D23" s="37" t="n">
        <v>87200</v>
      </c>
      <c r="E23" s="35" t="s">
        <v>612</v>
      </c>
      <c r="F23" s="35" t="s">
        <v>667</v>
      </c>
      <c r="G23" s="35" t="s">
        <v>671</v>
      </c>
      <c r="H23" s="35" t="s">
        <v>672</v>
      </c>
      <c r="I23" s="38" t="s">
        <v>616</v>
      </c>
      <c r="J23" s="35" t="s">
        <v>673</v>
      </c>
    </row>
    <row r="24" customFormat="false" ht="15" hidden="false" customHeight="true" outlineLevel="0" collapsed="false">
      <c r="A24" s="36" t="n">
        <v>20</v>
      </c>
      <c r="B24" s="36" t="s">
        <v>674</v>
      </c>
      <c r="C24" s="35" t="s">
        <v>675</v>
      </c>
      <c r="D24" s="37" t="n">
        <v>74700</v>
      </c>
      <c r="E24" s="35" t="s">
        <v>612</v>
      </c>
      <c r="F24" s="35" t="s">
        <v>613</v>
      </c>
      <c r="G24" s="35" t="s">
        <v>676</v>
      </c>
      <c r="H24" s="35" t="s">
        <v>625</v>
      </c>
      <c r="I24" s="38" t="s">
        <v>616</v>
      </c>
      <c r="J24" s="35" t="s">
        <v>677</v>
      </c>
    </row>
    <row r="25" customFormat="false" ht="15" hidden="false" customHeight="true" outlineLevel="0" collapsed="false">
      <c r="A25" s="36" t="n">
        <v>21</v>
      </c>
      <c r="B25" s="36" t="s">
        <v>678</v>
      </c>
      <c r="C25" s="36"/>
      <c r="D25" s="37" t="n">
        <v>63000</v>
      </c>
      <c r="E25" s="35" t="s">
        <v>612</v>
      </c>
      <c r="F25" s="35" t="s">
        <v>613</v>
      </c>
      <c r="G25" s="35" t="s">
        <v>679</v>
      </c>
      <c r="H25" s="35" t="s">
        <v>625</v>
      </c>
      <c r="I25" s="38" t="s">
        <v>616</v>
      </c>
      <c r="J25" s="35" t="s">
        <v>680</v>
      </c>
    </row>
    <row r="26" customFormat="false" ht="15" hidden="false" customHeight="true" outlineLevel="0" collapsed="false">
      <c r="A26" s="36" t="n">
        <v>22</v>
      </c>
      <c r="B26" s="36" t="s">
        <v>681</v>
      </c>
      <c r="C26" s="36"/>
      <c r="D26" s="37" t="n">
        <v>59000</v>
      </c>
      <c r="E26" s="35" t="s">
        <v>612</v>
      </c>
      <c r="F26" s="35" t="s">
        <v>613</v>
      </c>
      <c r="G26" s="35" t="s">
        <v>682</v>
      </c>
      <c r="H26" s="35" t="s">
        <v>625</v>
      </c>
      <c r="I26" s="38" t="s">
        <v>616</v>
      </c>
      <c r="J26" s="35" t="s">
        <v>683</v>
      </c>
    </row>
    <row r="27" customFormat="false" ht="15" hidden="false" customHeight="true" outlineLevel="0" collapsed="false">
      <c r="A27" s="36" t="n">
        <v>23</v>
      </c>
      <c r="B27" s="36" t="s">
        <v>684</v>
      </c>
      <c r="C27" s="36"/>
      <c r="D27" s="37" t="n">
        <v>58034</v>
      </c>
      <c r="E27" s="35" t="s">
        <v>685</v>
      </c>
      <c r="F27" s="35" t="s">
        <v>613</v>
      </c>
      <c r="G27" s="35" t="s">
        <v>686</v>
      </c>
      <c r="H27" s="35" t="s">
        <v>625</v>
      </c>
      <c r="I27" s="38" t="s">
        <v>616</v>
      </c>
      <c r="J27" s="35" t="s">
        <v>687</v>
      </c>
    </row>
    <row r="28" customFormat="false" ht="15" hidden="false" customHeight="true" outlineLevel="0" collapsed="false">
      <c r="A28" s="36" t="n">
        <v>24</v>
      </c>
      <c r="B28" s="36" t="s">
        <v>688</v>
      </c>
      <c r="C28" s="36"/>
      <c r="D28" s="37" t="n">
        <v>56900</v>
      </c>
      <c r="E28" s="35" t="s">
        <v>612</v>
      </c>
      <c r="F28" s="35" t="s">
        <v>613</v>
      </c>
      <c r="G28" s="35" t="s">
        <v>689</v>
      </c>
      <c r="H28" s="35" t="s">
        <v>615</v>
      </c>
      <c r="I28" s="38" t="s">
        <v>616</v>
      </c>
      <c r="J28" s="35" t="s">
        <v>690</v>
      </c>
    </row>
    <row r="29" customFormat="false" ht="15" hidden="false" customHeight="true" outlineLevel="0" collapsed="false">
      <c r="A29" s="36" t="n">
        <v>25</v>
      </c>
      <c r="B29" s="36" t="s">
        <v>691</v>
      </c>
      <c r="C29" s="35" t="s">
        <v>692</v>
      </c>
      <c r="D29" s="37" t="n">
        <v>53300</v>
      </c>
      <c r="E29" s="35" t="s">
        <v>612</v>
      </c>
      <c r="F29" s="35" t="s">
        <v>613</v>
      </c>
      <c r="G29" s="35" t="s">
        <v>693</v>
      </c>
      <c r="H29" s="35" t="s">
        <v>625</v>
      </c>
      <c r="I29" s="38" t="s">
        <v>616</v>
      </c>
      <c r="J29" s="35" t="s">
        <v>694</v>
      </c>
    </row>
    <row r="30" customFormat="false" ht="15" hidden="false" customHeight="true" outlineLevel="0" collapsed="false">
      <c r="A30" s="36" t="n">
        <v>26</v>
      </c>
      <c r="B30" s="36" t="s">
        <v>695</v>
      </c>
      <c r="C30" s="36"/>
      <c r="D30" s="37" t="n">
        <v>52743</v>
      </c>
      <c r="E30" s="35" t="s">
        <v>685</v>
      </c>
      <c r="F30" s="35" t="s">
        <v>613</v>
      </c>
      <c r="G30" s="35" t="s">
        <v>696</v>
      </c>
      <c r="H30" s="35" t="s">
        <v>625</v>
      </c>
      <c r="I30" s="38" t="s">
        <v>616</v>
      </c>
      <c r="J30" s="35" t="s">
        <v>697</v>
      </c>
    </row>
    <row r="31" customFormat="false" ht="15" hidden="false" customHeight="true" outlineLevel="0" collapsed="false">
      <c r="A31" s="36" t="n">
        <v>27</v>
      </c>
      <c r="B31" s="36" t="s">
        <v>698</v>
      </c>
      <c r="C31" s="36"/>
      <c r="D31" s="37" t="n">
        <v>51900</v>
      </c>
      <c r="E31" s="35" t="s">
        <v>612</v>
      </c>
      <c r="F31" s="35" t="s">
        <v>613</v>
      </c>
      <c r="G31" s="35" t="s">
        <v>699</v>
      </c>
      <c r="H31" s="35" t="s">
        <v>625</v>
      </c>
      <c r="I31" s="38" t="s">
        <v>616</v>
      </c>
      <c r="J31" s="35" t="s">
        <v>700</v>
      </c>
    </row>
    <row r="32" customFormat="false" ht="15" hidden="false" customHeight="true" outlineLevel="0" collapsed="false">
      <c r="A32" s="36" t="n">
        <v>28</v>
      </c>
      <c r="B32" s="36" t="s">
        <v>701</v>
      </c>
      <c r="C32" s="36"/>
      <c r="D32" s="37" t="n">
        <v>50100</v>
      </c>
      <c r="E32" s="35" t="s">
        <v>612</v>
      </c>
      <c r="F32" s="35" t="s">
        <v>613</v>
      </c>
      <c r="G32" s="35" t="s">
        <v>702</v>
      </c>
      <c r="H32" s="35" t="s">
        <v>620</v>
      </c>
      <c r="I32" s="38" t="s">
        <v>616</v>
      </c>
      <c r="J32" s="35" t="s">
        <v>703</v>
      </c>
    </row>
    <row r="33" customFormat="false" ht="15" hidden="false" customHeight="true" outlineLevel="0" collapsed="false">
      <c r="A33" s="36" t="n">
        <v>29</v>
      </c>
      <c r="B33" s="36" t="s">
        <v>704</v>
      </c>
      <c r="C33" s="36"/>
      <c r="D33" s="37" t="n">
        <v>49492</v>
      </c>
      <c r="E33" s="35" t="s">
        <v>685</v>
      </c>
      <c r="F33" s="35" t="s">
        <v>613</v>
      </c>
      <c r="G33" s="35" t="s">
        <v>705</v>
      </c>
      <c r="H33" s="35" t="s">
        <v>615</v>
      </c>
      <c r="I33" s="39" t="s">
        <v>706</v>
      </c>
      <c r="J33" s="35" t="s">
        <v>707</v>
      </c>
    </row>
    <row r="34" customFormat="false" ht="15" hidden="false" customHeight="true" outlineLevel="0" collapsed="false">
      <c r="A34" s="36" t="n">
        <v>30</v>
      </c>
      <c r="B34" s="36" t="s">
        <v>708</v>
      </c>
      <c r="C34" s="36"/>
      <c r="D34" s="37" t="n">
        <v>49000</v>
      </c>
      <c r="E34" s="35" t="s">
        <v>612</v>
      </c>
      <c r="F34" s="35" t="s">
        <v>613</v>
      </c>
      <c r="G34" s="35" t="s">
        <v>709</v>
      </c>
      <c r="H34" s="35" t="s">
        <v>625</v>
      </c>
      <c r="I34" s="39" t="s">
        <v>706</v>
      </c>
      <c r="J34" s="35" t="s">
        <v>710</v>
      </c>
    </row>
    <row r="35" customFormat="false" ht="15" hidden="false" customHeight="true" outlineLevel="0" collapsed="false">
      <c r="A35" s="36" t="n">
        <v>31</v>
      </c>
      <c r="B35" s="36" t="s">
        <v>711</v>
      </c>
      <c r="C35" s="35" t="s">
        <v>712</v>
      </c>
      <c r="D35" s="37" t="n">
        <v>47549</v>
      </c>
      <c r="E35" s="35" t="s">
        <v>685</v>
      </c>
      <c r="F35" s="35" t="s">
        <v>613</v>
      </c>
      <c r="G35" s="35" t="s">
        <v>713</v>
      </c>
      <c r="H35" s="35" t="s">
        <v>625</v>
      </c>
      <c r="I35" s="39" t="s">
        <v>706</v>
      </c>
      <c r="J35" s="35" t="s">
        <v>714</v>
      </c>
    </row>
    <row r="36" customFormat="false" ht="15" hidden="false" customHeight="true" outlineLevel="0" collapsed="false">
      <c r="A36" s="36" t="n">
        <v>32</v>
      </c>
      <c r="B36" s="36" t="s">
        <v>715</v>
      </c>
      <c r="C36" s="36"/>
      <c r="D36" s="37" t="n">
        <v>47200</v>
      </c>
      <c r="E36" s="35" t="s">
        <v>612</v>
      </c>
      <c r="F36" s="35" t="s">
        <v>613</v>
      </c>
      <c r="G36" s="35" t="s">
        <v>716</v>
      </c>
      <c r="H36" s="35" t="s">
        <v>615</v>
      </c>
      <c r="I36" s="39" t="s">
        <v>706</v>
      </c>
      <c r="J36" s="35" t="s">
        <v>717</v>
      </c>
    </row>
    <row r="37" customFormat="false" ht="15" hidden="false" customHeight="true" outlineLevel="0" collapsed="false">
      <c r="A37" s="36" t="n">
        <v>33</v>
      </c>
      <c r="B37" s="36" t="s">
        <v>718</v>
      </c>
      <c r="C37" s="35" t="s">
        <v>719</v>
      </c>
      <c r="D37" s="37" t="n">
        <v>44569</v>
      </c>
      <c r="E37" s="35" t="s">
        <v>685</v>
      </c>
      <c r="F37" s="35" t="s">
        <v>613</v>
      </c>
      <c r="G37" s="35" t="s">
        <v>720</v>
      </c>
      <c r="H37" s="35" t="s">
        <v>625</v>
      </c>
      <c r="I37" s="39" t="s">
        <v>706</v>
      </c>
      <c r="J37" s="35" t="s">
        <v>721</v>
      </c>
    </row>
    <row r="38" customFormat="false" ht="15" hidden="false" customHeight="true" outlineLevel="0" collapsed="false">
      <c r="A38" s="36" t="n">
        <v>34</v>
      </c>
      <c r="B38" s="36" t="s">
        <v>722</v>
      </c>
      <c r="C38" s="35" t="s">
        <v>723</v>
      </c>
      <c r="D38" s="37" t="n">
        <v>43700</v>
      </c>
      <c r="E38" s="35" t="s">
        <v>612</v>
      </c>
      <c r="F38" s="35" t="s">
        <v>613</v>
      </c>
      <c r="G38" s="35" t="s">
        <v>724</v>
      </c>
      <c r="H38" s="35" t="s">
        <v>625</v>
      </c>
      <c r="I38" s="39" t="s">
        <v>706</v>
      </c>
      <c r="J38" s="35" t="s">
        <v>725</v>
      </c>
    </row>
    <row r="39" customFormat="false" ht="15" hidden="false" customHeight="true" outlineLevel="0" collapsed="false">
      <c r="A39" s="36" t="n">
        <v>35</v>
      </c>
      <c r="B39" s="35" t="s">
        <v>726</v>
      </c>
      <c r="C39" s="35" t="s">
        <v>727</v>
      </c>
      <c r="D39" s="37" t="n">
        <v>43367</v>
      </c>
      <c r="E39" s="35" t="s">
        <v>685</v>
      </c>
      <c r="F39" s="35" t="s">
        <v>613</v>
      </c>
      <c r="G39" s="35" t="s">
        <v>728</v>
      </c>
      <c r="H39" s="35" t="s">
        <v>625</v>
      </c>
      <c r="I39" s="39" t="s">
        <v>706</v>
      </c>
      <c r="J39" s="35" t="s">
        <v>729</v>
      </c>
    </row>
    <row r="40" customFormat="false" ht="15" hidden="false" customHeight="true" outlineLevel="0" collapsed="false">
      <c r="A40" s="36" t="n">
        <v>36</v>
      </c>
      <c r="B40" s="36" t="s">
        <v>730</v>
      </c>
      <c r="C40" s="36"/>
      <c r="D40" s="37" t="n">
        <v>43000</v>
      </c>
      <c r="E40" s="35" t="s">
        <v>612</v>
      </c>
      <c r="F40" s="35" t="s">
        <v>613</v>
      </c>
      <c r="G40" s="35" t="s">
        <v>731</v>
      </c>
      <c r="H40" s="35" t="s">
        <v>615</v>
      </c>
      <c r="I40" s="39" t="s">
        <v>706</v>
      </c>
      <c r="J40" s="35" t="s">
        <v>732</v>
      </c>
    </row>
    <row r="41" customFormat="false" ht="15" hidden="false" customHeight="true" outlineLevel="0" collapsed="false">
      <c r="A41" s="36" t="n">
        <v>37</v>
      </c>
      <c r="B41" s="36" t="s">
        <v>733</v>
      </c>
      <c r="C41" s="36"/>
      <c r="D41" s="37" t="n">
        <v>42810</v>
      </c>
      <c r="E41" s="35" t="s">
        <v>734</v>
      </c>
      <c r="F41" s="35" t="s">
        <v>667</v>
      </c>
      <c r="G41" s="35" t="s">
        <v>735</v>
      </c>
      <c r="H41" s="35" t="s">
        <v>620</v>
      </c>
      <c r="I41" s="39" t="s">
        <v>706</v>
      </c>
      <c r="J41" s="35" t="s">
        <v>736</v>
      </c>
    </row>
    <row r="42" customFormat="false" ht="15" hidden="false" customHeight="true" outlineLevel="0" collapsed="false">
      <c r="A42" s="36" t="n">
        <v>38</v>
      </c>
      <c r="B42" s="36" t="s">
        <v>737</v>
      </c>
      <c r="C42" s="36"/>
      <c r="D42" s="37" t="n">
        <v>42800</v>
      </c>
      <c r="E42" s="35" t="s">
        <v>612</v>
      </c>
      <c r="F42" s="35" t="s">
        <v>667</v>
      </c>
      <c r="G42" s="35" t="s">
        <v>738</v>
      </c>
      <c r="H42" s="35" t="s">
        <v>620</v>
      </c>
      <c r="I42" s="39" t="s">
        <v>706</v>
      </c>
      <c r="J42" s="35" t="s">
        <v>739</v>
      </c>
    </row>
    <row r="43" customFormat="false" ht="15" hidden="false" customHeight="true" outlineLevel="0" collapsed="false">
      <c r="A43" s="36" t="n">
        <v>39</v>
      </c>
      <c r="B43" s="36" t="s">
        <v>740</v>
      </c>
      <c r="C43" s="36"/>
      <c r="D43" s="37" t="n">
        <v>41611</v>
      </c>
      <c r="E43" s="35" t="s">
        <v>685</v>
      </c>
      <c r="F43" s="35" t="s">
        <v>613</v>
      </c>
      <c r="G43" s="35" t="s">
        <v>741</v>
      </c>
      <c r="H43" s="35" t="s">
        <v>615</v>
      </c>
      <c r="I43" s="39" t="s">
        <v>706</v>
      </c>
      <c r="J43" s="35" t="s">
        <v>742</v>
      </c>
    </row>
    <row r="44" customFormat="false" ht="15" hidden="false" customHeight="true" outlineLevel="0" collapsed="false">
      <c r="A44" s="36" t="n">
        <v>40</v>
      </c>
      <c r="B44" s="36" t="s">
        <v>743</v>
      </c>
      <c r="C44" s="36"/>
      <c r="D44" s="37" t="n">
        <v>40301</v>
      </c>
      <c r="E44" s="35" t="s">
        <v>734</v>
      </c>
      <c r="F44" s="35" t="s">
        <v>667</v>
      </c>
      <c r="G44" s="35" t="s">
        <v>744</v>
      </c>
      <c r="H44" s="35" t="s">
        <v>625</v>
      </c>
      <c r="I44" s="39" t="s">
        <v>706</v>
      </c>
      <c r="J44" s="35" t="s">
        <v>745</v>
      </c>
    </row>
    <row r="45" customFormat="false" ht="15" hidden="false" customHeight="true" outlineLevel="0" collapsed="false">
      <c r="A45" s="36" t="n">
        <v>41</v>
      </c>
      <c r="B45" s="36" t="s">
        <v>746</v>
      </c>
      <c r="C45" s="36"/>
      <c r="D45" s="37" t="n">
        <v>39300</v>
      </c>
      <c r="E45" s="35" t="s">
        <v>612</v>
      </c>
      <c r="F45" s="35" t="s">
        <v>667</v>
      </c>
      <c r="G45" s="35" t="s">
        <v>747</v>
      </c>
      <c r="H45" s="35" t="s">
        <v>625</v>
      </c>
      <c r="I45" s="39" t="s">
        <v>706</v>
      </c>
      <c r="J45" s="35" t="s">
        <v>748</v>
      </c>
    </row>
    <row r="46" customFormat="false" ht="15" hidden="false" customHeight="true" outlineLevel="0" collapsed="false">
      <c r="A46" s="36" t="n">
        <v>42</v>
      </c>
      <c r="B46" s="36" t="s">
        <v>749</v>
      </c>
      <c r="C46" s="36"/>
      <c r="D46" s="37" t="n">
        <v>37625</v>
      </c>
      <c r="E46" s="35" t="s">
        <v>734</v>
      </c>
      <c r="F46" s="35" t="s">
        <v>734</v>
      </c>
      <c r="G46" s="35" t="s">
        <v>567</v>
      </c>
      <c r="H46" s="35" t="s">
        <v>625</v>
      </c>
      <c r="I46" s="39" t="s">
        <v>706</v>
      </c>
      <c r="J46" s="35" t="s">
        <v>750</v>
      </c>
    </row>
    <row r="47" customFormat="false" ht="15" hidden="false" customHeight="true" outlineLevel="0" collapsed="false">
      <c r="A47" s="36" t="n">
        <v>43</v>
      </c>
      <c r="B47" s="36" t="s">
        <v>751</v>
      </c>
      <c r="C47" s="36"/>
      <c r="D47" s="37" t="n">
        <v>37300</v>
      </c>
      <c r="E47" s="35" t="s">
        <v>612</v>
      </c>
      <c r="F47" s="35" t="s">
        <v>613</v>
      </c>
      <c r="G47" s="35" t="s">
        <v>752</v>
      </c>
      <c r="H47" s="35" t="s">
        <v>625</v>
      </c>
      <c r="I47" s="39" t="s">
        <v>706</v>
      </c>
      <c r="J47" s="35" t="s">
        <v>753</v>
      </c>
    </row>
    <row r="48" customFormat="false" ht="15" hidden="false" customHeight="true" outlineLevel="0" collapsed="false">
      <c r="A48" s="36" t="n">
        <v>44</v>
      </c>
      <c r="B48" s="36" t="s">
        <v>754</v>
      </c>
      <c r="C48" s="36"/>
      <c r="D48" s="37" t="n">
        <v>36000</v>
      </c>
      <c r="E48" s="35" t="s">
        <v>612</v>
      </c>
      <c r="F48" s="35" t="s">
        <v>613</v>
      </c>
      <c r="G48" s="35" t="s">
        <v>755</v>
      </c>
      <c r="H48" s="35" t="s">
        <v>625</v>
      </c>
      <c r="I48" s="39" t="s">
        <v>706</v>
      </c>
      <c r="J48" s="35" t="s">
        <v>756</v>
      </c>
    </row>
    <row r="49" customFormat="false" ht="15" hidden="false" customHeight="true" outlineLevel="0" collapsed="false">
      <c r="A49" s="36" t="n">
        <v>45</v>
      </c>
      <c r="B49" s="36" t="s">
        <v>757</v>
      </c>
      <c r="C49" s="36"/>
      <c r="D49" s="37" t="n">
        <v>35900</v>
      </c>
      <c r="E49" s="35" t="s">
        <v>612</v>
      </c>
      <c r="F49" s="35" t="s">
        <v>613</v>
      </c>
      <c r="G49" s="35" t="s">
        <v>738</v>
      </c>
      <c r="H49" s="35" t="s">
        <v>758</v>
      </c>
      <c r="I49" s="39" t="s">
        <v>706</v>
      </c>
      <c r="J49" s="35" t="s">
        <v>759</v>
      </c>
    </row>
    <row r="50" customFormat="false" ht="15" hidden="false" customHeight="true" outlineLevel="0" collapsed="false">
      <c r="A50" s="36" t="n">
        <v>46</v>
      </c>
      <c r="B50" s="36" t="s">
        <v>760</v>
      </c>
      <c r="C50" s="36"/>
      <c r="D50" s="37" t="n">
        <v>35500</v>
      </c>
      <c r="E50" s="35" t="s">
        <v>612</v>
      </c>
      <c r="F50" s="35" t="s">
        <v>667</v>
      </c>
      <c r="G50" s="35" t="s">
        <v>761</v>
      </c>
      <c r="H50" s="35" t="s">
        <v>625</v>
      </c>
      <c r="I50" s="39" t="s">
        <v>706</v>
      </c>
      <c r="J50" s="35" t="s">
        <v>762</v>
      </c>
    </row>
    <row r="51" customFormat="false" ht="15" hidden="false" customHeight="true" outlineLevel="0" collapsed="false">
      <c r="A51" s="36" t="n">
        <v>47</v>
      </c>
      <c r="B51" s="36" t="s">
        <v>763</v>
      </c>
      <c r="C51" s="36"/>
      <c r="D51" s="37" t="n">
        <v>35100</v>
      </c>
      <c r="E51" s="35" t="s">
        <v>612</v>
      </c>
      <c r="F51" s="35" t="s">
        <v>613</v>
      </c>
      <c r="G51" s="35" t="s">
        <v>764</v>
      </c>
      <c r="H51" s="35" t="s">
        <v>625</v>
      </c>
      <c r="I51" s="39" t="s">
        <v>706</v>
      </c>
      <c r="J51" s="35" t="s">
        <v>765</v>
      </c>
    </row>
    <row r="52" customFormat="false" ht="15" hidden="false" customHeight="true" outlineLevel="0" collapsed="false">
      <c r="A52" s="36" t="n">
        <v>48</v>
      </c>
      <c r="B52" s="36" t="s">
        <v>766</v>
      </c>
      <c r="C52" s="35" t="s">
        <v>767</v>
      </c>
      <c r="D52" s="37" t="n">
        <v>35000</v>
      </c>
      <c r="E52" s="35" t="s">
        <v>612</v>
      </c>
      <c r="F52" s="35" t="s">
        <v>613</v>
      </c>
      <c r="G52" s="35" t="s">
        <v>768</v>
      </c>
      <c r="H52" s="35" t="s">
        <v>769</v>
      </c>
      <c r="I52" s="39" t="s">
        <v>706</v>
      </c>
      <c r="J52" s="35" t="s">
        <v>770</v>
      </c>
    </row>
    <row r="53" customFormat="false" ht="15" hidden="false" customHeight="true" outlineLevel="0" collapsed="false">
      <c r="A53" s="36" t="n">
        <v>49</v>
      </c>
      <c r="B53" s="36" t="s">
        <v>771</v>
      </c>
      <c r="C53" s="36"/>
      <c r="D53" s="37" t="n">
        <v>34600</v>
      </c>
      <c r="E53" s="35" t="s">
        <v>612</v>
      </c>
      <c r="F53" s="35" t="s">
        <v>613</v>
      </c>
      <c r="G53" s="35" t="s">
        <v>772</v>
      </c>
      <c r="H53" s="35" t="s">
        <v>646</v>
      </c>
      <c r="I53" s="39" t="s">
        <v>706</v>
      </c>
      <c r="J53" s="35" t="s">
        <v>773</v>
      </c>
    </row>
    <row r="54" customFormat="false" ht="15" hidden="false" customHeight="true" outlineLevel="0" collapsed="false">
      <c r="A54" s="36" t="n">
        <v>50</v>
      </c>
      <c r="B54" s="36" t="s">
        <v>774</v>
      </c>
      <c r="C54" s="35" t="s">
        <v>775</v>
      </c>
      <c r="D54" s="37" t="n">
        <v>34000</v>
      </c>
      <c r="E54" s="35" t="s">
        <v>612</v>
      </c>
      <c r="F54" s="35" t="s">
        <v>613</v>
      </c>
      <c r="G54" s="35" t="s">
        <v>776</v>
      </c>
      <c r="H54" s="35" t="s">
        <v>615</v>
      </c>
      <c r="I54" s="39" t="s">
        <v>706</v>
      </c>
      <c r="J54" s="35" t="s">
        <v>777</v>
      </c>
    </row>
    <row r="55" customFormat="false" ht="15" hidden="false" customHeight="true" outlineLevel="0" collapsed="false">
      <c r="A55" s="36" t="n">
        <v>51</v>
      </c>
      <c r="B55" s="36" t="s">
        <v>563</v>
      </c>
      <c r="C55" s="36"/>
      <c r="D55" s="37" t="n">
        <v>32700</v>
      </c>
      <c r="E55" s="35" t="s">
        <v>612</v>
      </c>
      <c r="F55" s="35" t="s">
        <v>613</v>
      </c>
      <c r="G55" s="35" t="s">
        <v>778</v>
      </c>
      <c r="H55" s="35" t="s">
        <v>625</v>
      </c>
      <c r="I55" s="39" t="s">
        <v>706</v>
      </c>
      <c r="J55" s="35" t="s">
        <v>779</v>
      </c>
    </row>
    <row r="56" customFormat="false" ht="15" hidden="false" customHeight="true" outlineLevel="0" collapsed="false">
      <c r="A56" s="36" t="n">
        <v>52</v>
      </c>
      <c r="B56" s="36" t="s">
        <v>780</v>
      </c>
      <c r="C56" s="35" t="s">
        <v>781</v>
      </c>
      <c r="D56" s="37" t="n">
        <v>32445</v>
      </c>
      <c r="E56" s="35" t="s">
        <v>685</v>
      </c>
      <c r="F56" s="35" t="s">
        <v>613</v>
      </c>
      <c r="G56" s="35" t="s">
        <v>782</v>
      </c>
      <c r="H56" s="35" t="s">
        <v>615</v>
      </c>
      <c r="I56" s="39" t="s">
        <v>706</v>
      </c>
      <c r="J56" s="35" t="s">
        <v>783</v>
      </c>
    </row>
    <row r="57" customFormat="false" ht="15" hidden="false" customHeight="true" outlineLevel="0" collapsed="false">
      <c r="A57" s="36" t="n">
        <v>53</v>
      </c>
      <c r="B57" s="36" t="s">
        <v>784</v>
      </c>
      <c r="C57" s="36"/>
      <c r="D57" s="37" t="n">
        <v>32065</v>
      </c>
      <c r="E57" s="35" t="s">
        <v>685</v>
      </c>
      <c r="F57" s="35" t="s">
        <v>613</v>
      </c>
      <c r="G57" s="35" t="s">
        <v>785</v>
      </c>
      <c r="H57" s="35" t="s">
        <v>625</v>
      </c>
      <c r="I57" s="39" t="s">
        <v>706</v>
      </c>
      <c r="J57" s="35" t="s">
        <v>786</v>
      </c>
    </row>
    <row r="58" customFormat="false" ht="15" hidden="false" customHeight="true" outlineLevel="0" collapsed="false">
      <c r="A58" s="36" t="n">
        <v>54</v>
      </c>
      <c r="B58" s="36" t="s">
        <v>787</v>
      </c>
      <c r="C58" s="36"/>
      <c r="D58" s="37" t="n">
        <v>31871</v>
      </c>
      <c r="E58" s="35" t="s">
        <v>734</v>
      </c>
      <c r="F58" s="35" t="s">
        <v>734</v>
      </c>
      <c r="G58" s="35" t="s">
        <v>788</v>
      </c>
      <c r="H58" s="35" t="s">
        <v>625</v>
      </c>
      <c r="I58" s="39" t="s">
        <v>706</v>
      </c>
      <c r="J58" s="35" t="s">
        <v>789</v>
      </c>
    </row>
    <row r="59" customFormat="false" ht="15" hidden="false" customHeight="true" outlineLevel="0" collapsed="false">
      <c r="A59" s="36" t="n">
        <v>55</v>
      </c>
      <c r="B59" s="36" t="s">
        <v>790</v>
      </c>
      <c r="C59" s="35" t="s">
        <v>791</v>
      </c>
      <c r="D59" s="37" t="n">
        <v>31414</v>
      </c>
      <c r="E59" s="35" t="s">
        <v>734</v>
      </c>
      <c r="F59" s="35" t="s">
        <v>734</v>
      </c>
      <c r="G59" s="35" t="s">
        <v>792</v>
      </c>
      <c r="H59" s="35" t="s">
        <v>625</v>
      </c>
      <c r="I59" s="39" t="s">
        <v>706</v>
      </c>
      <c r="J59" s="35" t="s">
        <v>793</v>
      </c>
    </row>
    <row r="60" customFormat="false" ht="15" hidden="false" customHeight="true" outlineLevel="0" collapsed="false">
      <c r="A60" s="36" t="n">
        <v>56</v>
      </c>
      <c r="B60" s="36" t="s">
        <v>794</v>
      </c>
      <c r="C60" s="36"/>
      <c r="D60" s="37" t="n">
        <v>31300</v>
      </c>
      <c r="E60" s="35" t="s">
        <v>612</v>
      </c>
      <c r="F60" s="35" t="s">
        <v>613</v>
      </c>
      <c r="G60" s="35" t="s">
        <v>795</v>
      </c>
      <c r="H60" s="35" t="s">
        <v>620</v>
      </c>
      <c r="I60" s="39" t="s">
        <v>706</v>
      </c>
      <c r="J60" s="35" t="s">
        <v>796</v>
      </c>
    </row>
    <row r="61" customFormat="false" ht="15" hidden="false" customHeight="true" outlineLevel="0" collapsed="false">
      <c r="A61" s="36" t="n">
        <v>57</v>
      </c>
      <c r="B61" s="36" t="s">
        <v>797</v>
      </c>
      <c r="C61" s="36"/>
      <c r="D61" s="37" t="n">
        <v>30508</v>
      </c>
      <c r="E61" s="35" t="s">
        <v>685</v>
      </c>
      <c r="F61" s="35" t="s">
        <v>613</v>
      </c>
      <c r="G61" s="35" t="s">
        <v>798</v>
      </c>
      <c r="H61" s="35" t="s">
        <v>625</v>
      </c>
      <c r="I61" s="39" t="s">
        <v>706</v>
      </c>
      <c r="J61" s="35" t="s">
        <v>799</v>
      </c>
    </row>
    <row r="63" customFormat="false" ht="15" hidden="false" customHeight="true" outlineLevel="0" collapsed="false">
      <c r="A63" s="26" t="s">
        <v>800</v>
      </c>
      <c r="B63" s="1" t="str">
        <f aca="false">COUNTIF(I5:I61,"5만+ 포함")&amp;" / 5만+ 포함, "&amp;COUNTIF(I5:I61,"3만~5만 워치")&amp;" / 워치리스트"</f>
        <v>28 / 5만+ 포함, 0 / 워치리스트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2026-06-06T05:51:24Z</dcterms:created>
  <dc:creator>openpyxl</dc:creator>
  <dc:description/>
  <dc:language>en-US</dc:language>
  <cp:lastModifiedBy/>
  <dcterms:modified xsi:type="dcterms:W3CDTF">2026-06-06T07:50:00Z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