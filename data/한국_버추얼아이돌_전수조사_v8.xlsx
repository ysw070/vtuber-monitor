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버추얼 그룹 전수목록" sheetId="1" state="visible" r:id="rId1"/>
    <sheet xmlns:r="http://schemas.openxmlformats.org/officeDocument/2006/relationships" name="소속사·운영사 정리" sheetId="2" state="visible" r:id="rId2"/>
    <sheet xmlns:r="http://schemas.openxmlformats.org/officeDocument/2006/relationships" name="요약 통계" sheetId="3" state="visible" r:id="rId3"/>
    <sheet xmlns:r="http://schemas.openxmlformats.org/officeDocument/2006/relationships" name="데뷔예정·신규(2026)" sheetId="4" state="visible" r:id="rId4"/>
    <sheet xmlns:r="http://schemas.openxmlformats.org/officeDocument/2006/relationships" name="개인세(무소속) 기준안+시드" sheetId="5" state="visible" r:id="rId5"/>
    <sheet xmlns:r="http://schemas.openxmlformats.org/officeDocument/2006/relationships" name="개인세 수집PoC(3만+)" sheetId="6" state="visible" r:id="rId6"/>
    <sheet xmlns:r="http://schemas.openxmlformats.org/officeDocument/2006/relationships"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7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  <fill>
      <patternFill patternType="solid">
        <fgColor rgb="FFF3E8FF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5" fillId="0" borderId="0" pivotButton="0" quotePrefix="0" xfId="0"/>
    <xf numFmtId="0" fontId="11" fillId="0" borderId="0" pivotButton="0" quotePrefix="0" xfId="0"/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 / 상태 '데뷔전' 신설(프리데뷔·데뷔예정 그룹도 전수목록에 표기, 2026-09-12)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50" t="inlineStr">
        <is>
          <t>활동중</t>
        </is>
      </c>
      <c r="H9" s="51" t="inlineStr">
        <is>
          <t>6인조 보이그룹. 멀티페르소나·동물캐릭터 사족보행 모캡. 시리즈A 40억 투자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0" t="inlineStr">
        <is>
          <t>활동중</t>
        </is>
      </c>
      <c r="H43" s="51" t="n"/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0" t="inlineStr">
        <is>
          <t>활동중</t>
        </is>
      </c>
      <c r="H53" s="51" t="n"/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데뷔. 2024.2 치지직 이적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0" t="inlineStr">
        <is>
          <t>활동중</t>
        </is>
      </c>
      <c r="H59" s="51" t="n"/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0" t="inlineStr">
        <is>
          <t>활동중</t>
        </is>
      </c>
      <c r="H61" s="51" t="n"/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100" t="n">
        <v>124</v>
      </c>
      <c r="B127" s="101" t="inlineStr">
        <is>
          <t>오위스</t>
        </is>
      </c>
      <c r="C127" s="100" t="inlineStr">
        <is>
          <t>OWIS</t>
        </is>
      </c>
      <c r="D127" s="101" t="inlineStr">
        <is>
          <t>올마이애닉도츠(ama)</t>
        </is>
      </c>
      <c r="E127" s="100" t="inlineStr">
        <is>
          <t>2026</t>
        </is>
      </c>
      <c r="F127" s="102" t="inlineStr">
        <is>
          <t>음반/아이돌형</t>
        </is>
      </c>
      <c r="G127" s="90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100" t="n">
        <v>125</v>
      </c>
      <c r="B128" s="101" t="inlineStr">
        <is>
          <t>우주괴담</t>
        </is>
      </c>
      <c r="C128" s="100" t="inlineStr">
        <is>
          <t>SPACE HORROR</t>
        </is>
      </c>
      <c r="D128" s="101" t="inlineStr">
        <is>
          <t>그림 프로덕션(마운드미디어)</t>
        </is>
      </c>
      <c r="E128" s="100" t="inlineStr">
        <is>
          <t>2026</t>
        </is>
      </c>
      <c r="F128" s="104" t="inlineStr">
        <is>
          <t>혼합형</t>
        </is>
      </c>
      <c r="G128" s="90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100" t="n">
        <v>126</v>
      </c>
      <c r="B129" s="101" t="inlineStr">
        <is>
          <t>미완소년</t>
        </is>
      </c>
      <c r="C129" s="100" t="inlineStr">
        <is>
          <t>美完少年</t>
        </is>
      </c>
      <c r="D129" s="101" t="inlineStr">
        <is>
          <t>어비스컴퍼니</t>
        </is>
      </c>
      <c r="E129" s="100" t="inlineStr">
        <is>
          <t>2026</t>
        </is>
      </c>
      <c r="F129" s="102" t="inlineStr">
        <is>
          <t>음반/아이돌형</t>
        </is>
      </c>
      <c r="G129" s="90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100" t="n">
        <v>127</v>
      </c>
      <c r="B130" s="101" t="inlineStr">
        <is>
          <t>이브닛</t>
        </is>
      </c>
      <c r="C130" s="100" t="inlineStr">
        <is>
          <t>IVNIT</t>
        </is>
      </c>
      <c r="D130" s="101" t="inlineStr">
        <is>
          <t>아카이브 스튜디오(AkaiV Studio)</t>
        </is>
      </c>
      <c r="E130" s="100" t="inlineStr">
        <is>
          <t>2025</t>
        </is>
      </c>
      <c r="F130" s="102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100" t="n">
        <v>128</v>
      </c>
      <c r="B131" s="101" t="inlineStr">
        <is>
          <t>수소진</t>
        </is>
      </c>
      <c r="C131" s="100" t="inlineStr">
        <is>
          <t>SOOSOJIN</t>
        </is>
      </c>
      <c r="D131" s="101" t="inlineStr">
        <is>
          <t>브라더후드 엔터테인먼트(제작 로코베리)</t>
        </is>
      </c>
      <c r="E131" s="100" t="inlineStr">
        <is>
          <t>2025</t>
        </is>
      </c>
      <c r="F131" s="102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100" t="n">
        <v>129</v>
      </c>
      <c r="B132" s="101" t="inlineStr">
        <is>
          <t>스파클즈</t>
        </is>
      </c>
      <c r="C132" s="100" t="inlineStr">
        <is>
          <t>SPAKLZ</t>
        </is>
      </c>
      <c r="D132" s="101" t="inlineStr">
        <is>
          <t>레진엔터테인먼트</t>
        </is>
      </c>
      <c r="E132" s="100" t="inlineStr">
        <is>
          <t>2025</t>
        </is>
      </c>
      <c r="F132" s="102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100" t="n">
        <v>130</v>
      </c>
      <c r="B133" s="101" t="inlineStr">
        <is>
          <t>헥시아</t>
        </is>
      </c>
      <c r="C133" s="100" t="inlineStr">
        <is>
          <t>HEXIA</t>
        </is>
      </c>
      <c r="D133" s="101" t="inlineStr">
        <is>
          <t>스콘(SCON)</t>
        </is>
      </c>
      <c r="E133" s="100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100" t="n">
        <v>131</v>
      </c>
      <c r="B134" s="101" t="inlineStr">
        <is>
          <t>h.a.l.o</t>
        </is>
      </c>
      <c r="C134" s="100" t="inlineStr">
        <is>
          <t>헤일로</t>
        </is>
      </c>
      <c r="D134" s="101" t="inlineStr">
        <is>
          <t>스콘(SCON)</t>
        </is>
      </c>
      <c r="E134" s="100" t="inlineStr">
        <is>
          <t>2026</t>
        </is>
      </c>
      <c r="F134" s="104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100" t="n">
        <v>132</v>
      </c>
      <c r="B135" s="101" t="inlineStr">
        <is>
          <t>제나</t>
        </is>
      </c>
      <c r="C135" s="100" t="inlineStr">
        <is>
          <t>JENA</t>
        </is>
      </c>
      <c r="D135" s="101" t="inlineStr">
        <is>
          <t>뮤즈온</t>
        </is>
      </c>
      <c r="E135" s="100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100" t="n">
        <v>133</v>
      </c>
      <c r="B136" s="101" t="inlineStr">
        <is>
          <t>청솔</t>
        </is>
      </c>
      <c r="C136" s="100" t="inlineStr">
        <is>
          <t>CHEONGSOL</t>
        </is>
      </c>
      <c r="D136" s="101" t="inlineStr">
        <is>
          <t>(미확인)</t>
        </is>
      </c>
      <c r="E136" s="100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100" t="n">
        <v>134</v>
      </c>
      <c r="B137" s="101" t="inlineStr">
        <is>
          <t>아이시아</t>
        </is>
      </c>
      <c r="C137" s="100" t="inlineStr">
        <is>
          <t>IXIA</t>
        </is>
      </c>
      <c r="D137" s="101" t="inlineStr">
        <is>
          <t>(미확인)</t>
        </is>
      </c>
      <c r="E137" s="100" t="inlineStr">
        <is>
          <t>2025</t>
        </is>
      </c>
      <c r="F137" s="102" t="inlineStr">
        <is>
          <t>음반/아이돌형</t>
        </is>
      </c>
      <c r="G137" s="94" t="inlineStr">
        <is>
          <t>확인필요</t>
        </is>
      </c>
      <c r="H137" s="66" t="inlineStr">
        <is>
          <t>2025.8 데뷔 싱글 'Hide &amp; Find'. 소속·현황 추가 확인 필요. (톱셀럽 2025.10.23)</t>
        </is>
      </c>
    </row>
    <row r="138">
      <c r="A138" s="100" t="n">
        <v>135</v>
      </c>
      <c r="B138" s="101" t="inlineStr">
        <is>
          <t>클루즈</t>
        </is>
      </c>
      <c r="C138" s="100" t="inlineStr">
        <is>
          <t>CLUEZ</t>
        </is>
      </c>
      <c r="D138" s="101" t="inlineStr">
        <is>
          <t>카론 유니버스(카론 크리에이티브)</t>
        </is>
      </c>
      <c r="E138" s="100" t="inlineStr">
        <is>
          <t>2025</t>
        </is>
      </c>
      <c r="F138" s="102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100" t="n">
        <v>136</v>
      </c>
      <c r="B139" s="101" t="inlineStr">
        <is>
          <t>루나데이즈</t>
        </is>
      </c>
      <c r="C139" s="100" t="inlineStr">
        <is>
          <t>LUNADAYS</t>
        </is>
      </c>
      <c r="D139" s="101" t="inlineStr">
        <is>
          <t>루나데이즈(개인사업자 MCN)</t>
        </is>
      </c>
      <c r="E139" s="100" t="inlineStr">
        <is>
          <t>2025</t>
        </is>
      </c>
      <c r="F139" s="91" t="inlineStr">
        <is>
          <t>스트리밍/MCN형</t>
        </is>
      </c>
      <c r="G139" s="94" t="inlineStr">
        <is>
          <t>확인필요</t>
        </is>
      </c>
      <c r="H139" s="66" t="inlineStr">
        <is>
          <t>2025.3 1기 셀레네 3인 SOOP 데뷔→2025.9 계약해지. 2기 아이즈키 2025.8 치지직, 3기 츠키아라 3인 2026.6 PV 공개. 기사 미확인(나무위키 단일).</t>
        </is>
      </c>
    </row>
    <row r="140">
      <c r="A140" s="100" t="n">
        <v>137</v>
      </c>
      <c r="B140" s="101" t="inlineStr">
        <is>
          <t>애프터라이브</t>
        </is>
      </c>
      <c r="C140" s="100" t="inlineStr">
        <is>
          <t>AfterLive</t>
        </is>
      </c>
      <c r="D140" s="101" t="inlineStr">
        <is>
          <t>애프터라이브(자체 런칭)</t>
        </is>
      </c>
      <c r="E140" s="100" t="inlineStr">
        <is>
          <t>2026</t>
        </is>
      </c>
      <c r="F140" s="91" t="inlineStr">
        <is>
          <t>스트리밍/MCN형</t>
        </is>
      </c>
      <c r="G140" s="94" t="inlineStr">
        <is>
          <t>확인필요</t>
        </is>
      </c>
      <c r="H140" s="66" t="inlineStr">
        <is>
          <t>2026.1.3~4 소속 그룹 '비바체' 4인(아마네루 피요·콘야 유메이·하루야 치에·시노 레이) 데뷔. 기사 미확인(나무위키 단일).</t>
        </is>
      </c>
    </row>
    <row r="141">
      <c r="A141" s="100" t="n">
        <v>138</v>
      </c>
      <c r="B141" s="101" t="inlineStr">
        <is>
          <t>벨로디</t>
        </is>
      </c>
      <c r="C141" s="100" t="inlineStr">
        <is>
          <t>VELODY</t>
        </is>
      </c>
      <c r="D141" s="101" t="inlineStr">
        <is>
          <t>벨로디(자체 런칭)</t>
        </is>
      </c>
      <c r="E141" s="100" t="inlineStr">
        <is>
          <t>2026</t>
        </is>
      </c>
      <c r="F141" s="91" t="inlineStr">
        <is>
          <t>스트리밍/MCN형</t>
        </is>
      </c>
      <c r="G141" s="94" t="inlineStr">
        <is>
          <t>확인필요</t>
        </is>
      </c>
      <c r="H141" s="66" t="inlineStr">
        <is>
          <t>2026.3.28 1기 유닛 하나메(HANAME) 2인(쿠로사와 쿄코·토카미 키나) 치지직 데뷔, 2026.9.4 2.0 비주얼 재데뷔. 기사 미확인(나무위키 단일).</t>
        </is>
      </c>
    </row>
    <row r="142">
      <c r="A142" s="100" t="n">
        <v>139</v>
      </c>
      <c r="B142" s="101" t="inlineStr">
        <is>
          <t>아르포나</t>
        </is>
      </c>
      <c r="C142" s="100" t="inlineStr">
        <is>
          <t>Arfauna</t>
        </is>
      </c>
      <c r="D142" s="101" t="inlineStr">
        <is>
          <t>아르포나(버추얼 기획사)</t>
        </is>
      </c>
      <c r="E142" s="100" t="inlineStr">
        <is>
          <t>2026</t>
        </is>
      </c>
      <c r="F142" s="91" t="inlineStr">
        <is>
          <t>스트리밍/MCN형</t>
        </is>
      </c>
      <c r="G142" s="94" t="inlineStr">
        <is>
          <t>확인필요</t>
        </is>
      </c>
      <c r="H142" s="66" t="inlineStr">
        <is>
          <t>2026.5.16 소속 그룹 '유모어' 3인(냐페르·디아푸·선아린) 데뷔. 기사 미확인(나무위키 단일).</t>
        </is>
      </c>
    </row>
    <row r="143">
      <c r="A143" s="100" t="n">
        <v>140</v>
      </c>
      <c r="B143" s="101" t="inlineStr">
        <is>
          <t>바라바라</t>
        </is>
      </c>
      <c r="C143" s="100" t="inlineStr">
        <is>
          <t>BARABARA</t>
        </is>
      </c>
      <c r="D143" s="101" t="inlineStr">
        <is>
          <t>보쿠하이</t>
        </is>
      </c>
      <c r="E143" s="100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100" t="n">
        <v>141</v>
      </c>
      <c r="B144" s="101" t="inlineStr">
        <is>
          <t>신디에잇</t>
        </is>
      </c>
      <c r="C144" s="100" t="inlineStr">
        <is>
          <t>SYNDI8</t>
        </is>
      </c>
      <c r="D144" s="101" t="inlineStr">
        <is>
          <t>수퍼톤(HYBE 자회사)</t>
        </is>
      </c>
      <c r="E144" s="100" t="inlineStr">
        <is>
          <t>2024</t>
        </is>
      </c>
      <c r="F144" s="102" t="inlineStr">
        <is>
          <t>음반/아이돌형</t>
        </is>
      </c>
      <c r="G144" s="94" t="inlineStr">
        <is>
          <t>확인필요</t>
        </is>
      </c>
      <c r="H144" s="66" t="inlineStr">
        <is>
          <t>AI 보이스 기반 4인조 버추얼 걸그룹(카나리·네스트·고요·레이븐). 2024.6.27 데뷔 음반 'MVP'. 2026 활동 여부 미확인. 표절 논란 문서화. (나무위키)</t>
        </is>
      </c>
    </row>
    <row r="145">
      <c r="A145" s="100" t="n">
        <v>142</v>
      </c>
      <c r="B145" s="101" t="inlineStr">
        <is>
          <t>피버스</t>
        </is>
      </c>
      <c r="C145" s="100" t="inlineStr">
        <is>
          <t>Feverse</t>
        </is>
      </c>
      <c r="D145" s="101" t="inlineStr">
        <is>
          <t>카카오엔터테인먼트</t>
        </is>
      </c>
      <c r="E145" s="100" t="inlineStr">
        <is>
          <t>2023</t>
        </is>
      </c>
      <c r="F145" s="104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100" t="n">
        <v>143</v>
      </c>
      <c r="B146" s="101" t="inlineStr">
        <is>
          <t>이진법소년들</t>
        </is>
      </c>
      <c r="C146" s="100" t="inlineStr">
        <is>
          <t>ØXONE</t>
        </is>
      </c>
      <c r="D146" s="101" t="inlineStr">
        <is>
          <t>완구 기업(유통 워너뮤직 ADA)</t>
        </is>
      </c>
      <c r="E146" s="100" t="inlineStr">
        <is>
          <t>2023</t>
        </is>
      </c>
      <c r="F146" s="102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100" t="n">
        <v>144</v>
      </c>
      <c r="B147" s="101" t="inlineStr">
        <is>
          <t>홀린</t>
        </is>
      </c>
      <c r="C147" s="100" t="inlineStr">
        <is>
          <t>WhOLLiN</t>
        </is>
      </c>
      <c r="D147" s="101" t="inlineStr">
        <is>
          <t>플레이리스트(PLAYLIST)</t>
        </is>
      </c>
      <c r="E147" s="100" t="inlineStr">
        <is>
          <t>2026</t>
        </is>
      </c>
      <c r="F147" s="102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  <row r="148">
      <c r="A148" s="100" t="n">
        <v>145</v>
      </c>
      <c r="B148" s="101" t="inlineStr">
        <is>
          <t>비그릿츠</t>
        </is>
      </c>
      <c r="C148" s="100" t="inlineStr">
        <is>
          <t>BEGRITZ</t>
        </is>
      </c>
      <c r="D148" s="101" t="inlineStr">
        <is>
          <t>디네이블(DNABLE)</t>
        </is>
      </c>
      <c r="E148" s="100" t="inlineStr">
        <is>
          <t>2026</t>
        </is>
      </c>
      <c r="F148" s="102" t="inlineStr">
        <is>
          <t>음반/아이돌형</t>
        </is>
      </c>
      <c r="G148" s="103" t="inlineStr">
        <is>
          <t>데뷔전</t>
        </is>
      </c>
      <c r="H148" s="66" t="inlineStr">
        <is>
          <t>[데뷔 예정 · 2026.8(론칭 예정)] 5인조. '시공간을 모험하는 도깨비' 세계관. 프로듀서 알티(R.Tee) 음악 총괄, 블락비 태일 A&amp;R·보컬디렉터. 실시간 CG·AI·퍼포먼스캡처 결합.</t>
        </is>
      </c>
    </row>
    <row r="149">
      <c r="A149" s="100" t="n">
        <v>146</v>
      </c>
      <c r="B149" s="101" t="inlineStr">
        <is>
          <t>걸스 아카이브</t>
        </is>
      </c>
      <c r="C149" s="100" t="inlineStr">
        <is>
          <t>Girls Archives.</t>
        </is>
      </c>
      <c r="D149" s="101" t="inlineStr">
        <is>
          <t>하이브 NEB × INCS toenter(일본)</t>
        </is>
      </c>
      <c r="E149" s="100" t="inlineStr">
        <is>
          <t>2026</t>
        </is>
      </c>
      <c r="F149" s="104" t="inlineStr">
        <is>
          <t>혼합형</t>
        </is>
      </c>
      <c r="G149" s="103" t="inlineStr">
        <is>
          <t>데뷔전</t>
        </is>
      </c>
      <c r="H149" s="66" t="inlineStr">
        <is>
          <t>[프리데뷔 예정 · 2026.8.7 프리데뷔] 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50">
      <c r="A150" s="100" t="n">
        <v>147</v>
      </c>
      <c r="B150" s="101" t="inlineStr">
        <is>
          <t>코스믹코드</t>
        </is>
      </c>
      <c r="C150" s="100" t="inlineStr">
        <is>
          <t>COSMIC CODE</t>
        </is>
      </c>
      <c r="D150" s="101" t="inlineStr">
        <is>
          <t>에이탑유니버스</t>
        </is>
      </c>
      <c r="E150" s="100" t="inlineStr">
        <is>
          <t>2026</t>
        </is>
      </c>
      <c r="F150" s="102" t="inlineStr">
        <is>
          <t>음반/아이돌형</t>
        </is>
      </c>
      <c r="G150" s="103" t="inlineStr">
        <is>
          <t>데뷔전</t>
        </is>
      </c>
      <c r="H150" s="66" t="inlineStr">
        <is>
          <t>[프리데뷔(멤버 순차 공개) · 2026.9.9~] 일본 우타이테 시장 겨냥 2.5D 버추얼 아이돌 5인. 프리데뷔 싱글 'POKER FACE', 2026.11 도쿄·오사카 공연 추진. 日 YOANI 3억엔 투자. (한국일보 2026.9.9)</t>
        </is>
      </c>
    </row>
    <row r="151">
      <c r="A151" s="100" t="n">
        <v>148</v>
      </c>
      <c r="B151" s="101" t="inlineStr">
        <is>
          <t>STUN-X</t>
        </is>
      </c>
      <c r="C151" s="100" t="inlineStr">
        <is>
          <t>우주아이돌리그</t>
        </is>
      </c>
      <c r="D151" s="101" t="inlineStr">
        <is>
          <t>밀리언볼트(애니 스튜디오)</t>
        </is>
      </c>
      <c r="E151" s="100" t="inlineStr">
        <is>
          <t>2026</t>
        </is>
      </c>
      <c r="F151" s="102" t="inlineStr">
        <is>
          <t>음반/아이돌형</t>
        </is>
      </c>
      <c r="G151" s="103" t="inlineStr">
        <is>
          <t>데뷔전</t>
        </is>
      </c>
      <c r="H151" s="66" t="inlineStr">
        <is>
          <t>[데뷔 예정 · 2026.10.2] 2D 버추얼 아이돌 IP. 웹소설 2026.9.10 카카오페이지 연재, 10.2 첫 디지털 싱글 예정. 캐릭터 콘텐츠 누적 2,000만뷰. (MBN 2026.9.11)</t>
        </is>
      </c>
    </row>
    <row r="152">
      <c r="A152" s="100" t="n">
        <v>149</v>
      </c>
      <c r="B152" s="101" t="inlineStr">
        <is>
          <t>WINKX</t>
        </is>
      </c>
      <c r="C152" s="100" t="inlineStr">
        <is>
          <t>윙스</t>
        </is>
      </c>
      <c r="D152" s="101" t="inlineStr">
        <is>
          <t>타이탄콘텐츠 × 대원미디어</t>
        </is>
      </c>
      <c r="E152" s="100" t="inlineStr">
        <is>
          <t>2026</t>
        </is>
      </c>
      <c r="F152" s="102" t="inlineStr">
        <is>
          <t>음반/아이돌형</t>
        </is>
      </c>
      <c r="G152" s="103" t="inlineStr">
        <is>
          <t>데뷔전</t>
        </is>
      </c>
      <c r="H152" s="66" t="inlineStr">
        <is>
          <t>[데뷔 예정(MOU 단계) · 미확인] 360도 글로벌 IP(음악·만화·애니) 공동사업. 모션캡처 대원 자회사 이엠피. 일정 미확인. (스타뉴스 2026.4.15)</t>
        </is>
      </c>
    </row>
    <row r="153">
      <c r="A153" s="100" t="n">
        <v>150</v>
      </c>
      <c r="B153" s="101" t="inlineStr">
        <is>
          <t>레드소다써클</t>
        </is>
      </c>
      <c r="C153" s="100" t="inlineStr">
        <is>
          <t>Red Soda Circle</t>
        </is>
      </c>
      <c r="D153" s="101" t="inlineStr">
        <is>
          <t>코드판타지아</t>
        </is>
      </c>
      <c r="E153" s="100" t="inlineStr">
        <is>
          <t>2025</t>
        </is>
      </c>
      <c r="F153" s="104" t="inlineStr">
        <is>
          <t>혼합형</t>
        </is>
      </c>
      <c r="G153" s="103" t="inlineStr">
        <is>
          <t>데뷔전</t>
        </is>
      </c>
      <c r="H153" s="66" t="inlineStr">
        <is>
          <t>[프리데뷔 · 2025.12.22] ※실사+버추얼 병행 하이브리드('리얼 라이프 듀얼 포맷'). 한일 2인조(리나·하루). 2025.12.22 첫 버추얼 라이브. (스포츠경향 2025.12.22)</t>
        </is>
      </c>
    </row>
    <row r="154">
      <c r="A154" s="107" t="n">
        <v>151</v>
      </c>
      <c r="B154" s="108" t="inlineStr">
        <is>
          <t>비더후드</t>
        </is>
      </c>
      <c r="C154" s="107" t="inlineStr">
        <is>
          <t>B THE HOOD</t>
        </is>
      </c>
      <c r="D154" s="108" t="inlineStr">
        <is>
          <t>레벨스(LEVVELS·하이브×두나무 합작)</t>
        </is>
      </c>
      <c r="E154" s="107" t="inlineStr">
        <is>
          <t>2026</t>
        </is>
      </c>
      <c r="F154" s="109" t="inlineStr">
        <is>
          <t>음반/아이돌형</t>
        </is>
      </c>
      <c r="G154" s="110" t="inlineStr">
        <is>
          <t>데뷔전</t>
        </is>
      </c>
      <c r="H154" s="66" t="inlineStr">
        <is>
          <t>[프리데뷔 · 선공개 3장] 5인조(이언·제이스·퍼비·기류·루안). 'Lowkey'(6.26)·'The Baddest'(7.31)·'JADED'(8.21, 정식 데뷔 전 마지막 선공개). 다크SF 세계관. 유튜브 개설 7주 만에 구독 10만, 쇼츠 500만뷰. 정식 데뷔 시 활동중 전환.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3" ht="15" customHeight="1" s="41">
      <c r="A3" s="71" t="inlineStr">
        <is>
          <t>전체 그룹 수</t>
        </is>
      </c>
      <c r="B3" s="46">
        <f>COUNTA('버추얼 그룹 전수목록'!B4:B153)</f>
        <v/>
      </c>
    </row>
    <row r="4" ht="15" customHeight="1" s="41">
      <c r="A4" s="71" t="inlineStr">
        <is>
          <t>활동중</t>
        </is>
      </c>
      <c r="B4" s="46">
        <f>COUNTIF('버추얼 그룹 전수목록'!G4:G153,"활동중")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전수목록'!G4:G153,"해체/종료")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전수목록'!G4:G153,"전환")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전수목록'!G4:G153,"확인필요")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전수목록'!G4:G153,"휴면")</f>
        <v/>
      </c>
    </row>
    <row r="9" ht="15" customHeight="1" s="41">
      <c r="A9" s="105" t="inlineStr">
        <is>
          <t>데뷔전(프리데뷔·예정)</t>
        </is>
      </c>
      <c r="B9" s="106">
        <f>COUNTIF('버추얼 그룹 전수목록'!G4:G153,"데뷔전")</f>
        <v/>
      </c>
    </row>
    <row r="10" ht="15" customHeight="1" s="41">
      <c r="A10" s="71" t="inlineStr">
        <is>
          <t>─ 분류별 ─</t>
        </is>
      </c>
      <c r="B10" s="46" t="n"/>
    </row>
    <row r="11" ht="15" customHeight="1" s="41">
      <c r="A11" s="71" t="inlineStr">
        <is>
          <t>음반/아이돌형</t>
        </is>
      </c>
      <c r="B11" s="46">
        <f>COUNTIF('버추얼 그룹 전수목록'!F4:F153,"음반/아이돌형")</f>
        <v/>
      </c>
    </row>
    <row r="12" ht="15" customHeight="1" s="41">
      <c r="A12" s="71" t="inlineStr">
        <is>
          <t>버추얼휴먼/솔로</t>
        </is>
      </c>
      <c r="B12" s="46">
        <f>COUNTIF('버추얼 그룹 전수목록'!F4:F153,"버추얼휴먼/솔로")</f>
        <v/>
      </c>
    </row>
    <row r="13" ht="15" customHeight="1" s="41">
      <c r="A13" s="71" t="inlineStr">
        <is>
          <t>스트리밍/MCN형</t>
        </is>
      </c>
      <c r="B13" s="46">
        <f>COUNTIF('버추얼 그룹 전수목록'!F4:F153,"스트리밍/MCN형")</f>
        <v/>
      </c>
    </row>
    <row r="14">
      <c r="A14" s="71" t="inlineStr">
        <is>
          <t>혼합형</t>
        </is>
      </c>
      <c r="B14" s="46">
        <f>COUNTIF('버추얼 그룹 전수목록'!F4:F153,"혼합형")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(2026-09-12 3갈래 조사 반영)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프리데뷔→정식 예정</t>
        </is>
      </c>
      <c r="D3" s="47" t="inlineStr">
        <is>
          <t>2026 여름(목표)</t>
        </is>
      </c>
      <c r="E3" s="54" t="inlineStr">
        <is>
          <t>멀티페르소나 6인 보이그룹. 5월 첫 라이브, 정식데뷔 준비 중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101" t="inlineStr">
        <is>
          <t>비더후드 (B THE HOOD)</t>
        </is>
      </c>
      <c r="B13" s="100" t="inlineStr">
        <is>
          <t>레벨스(LEVVELS·하이브×두나무 합작)</t>
        </is>
      </c>
      <c r="C13" s="101" t="inlineStr">
        <is>
          <t>프리데뷔 완료(선공개 3장) · 정식 데뷔 임박</t>
        </is>
      </c>
      <c r="D13" s="100" t="inlineStr">
        <is>
          <t>선공개 2026.6.26/7.31/8.21 · 정식 데뷔일 미확인</t>
        </is>
      </c>
      <c r="E13" s="66" t="inlineStr">
        <is>
          <t>5인조(이언·제이스·퍼비·기류·루안). 선공개 싱글 3장 — 'Lowkey'(6.26), 'The Baddest'(7.31), 'JADED'(8.21, 기사상 '정식 데뷔 전 마지막 선공개'). 행성 노버스를 떠난 외계인 다크SF 세계관. 유튜브 개설 7주 만에 구독 10만, 쇼츠 누적 500만뷰. 정식 데뷔 시 전수목록 편입 예정. (스포츠경향 2026.8.13, 텐아시아 2026.7.29)</t>
        </is>
      </c>
    </row>
    <row r="14">
      <c r="A14" s="101" t="inlineStr">
        <is>
          <t>비그릿츠 (BEGRITZ)</t>
        </is>
      </c>
      <c r="B14" s="100" t="inlineStr">
        <is>
          <t>디네이블(DNABLE)</t>
        </is>
      </c>
      <c r="C14" s="101" t="inlineStr">
        <is>
          <t>데뷔 예정</t>
        </is>
      </c>
      <c r="D14" s="100" t="inlineStr">
        <is>
          <t>2026.8(론칭 예정)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101" t="inlineStr">
        <is>
          <t>홀린 (WhOLLiN)</t>
        </is>
      </c>
      <c r="B15" s="100" t="inlineStr">
        <is>
          <t>플레이리스트(PLAYLIST)</t>
        </is>
      </c>
      <c r="C15" s="101" t="inlineStr">
        <is>
          <t>정식 데뷔 완료(2026.9.1) → 전수목록 편입</t>
        </is>
      </c>
      <c r="D15" s="100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101" t="inlineStr">
        <is>
          <t>걸스 아카이브 (Girls Archives.)</t>
        </is>
      </c>
      <c r="B16" s="100" t="inlineStr">
        <is>
          <t>하이브 NEB × INCS toenter(일본)</t>
        </is>
      </c>
      <c r="C16" s="101" t="inlineStr">
        <is>
          <t>프리데뷔 예정</t>
        </is>
      </c>
      <c r="D16" s="100" t="inlineStr">
        <is>
          <t>2026.8.7 프리데뷔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101" t="inlineStr">
        <is>
          <t>코스믹코드 (COSMIC CODE)</t>
        </is>
      </c>
      <c r="B17" s="100" t="inlineStr">
        <is>
          <t>에이탑유니버스</t>
        </is>
      </c>
      <c r="C17" s="101" t="inlineStr">
        <is>
          <t>프리데뷔(멤버 순차 공개)</t>
        </is>
      </c>
      <c r="D17" s="100" t="inlineStr">
        <is>
          <t>2026.9.9~</t>
        </is>
      </c>
      <c r="E17" s="66" t="inlineStr">
        <is>
          <t>일본 우타이테 시장 겨냥 2.5D 버추얼 아이돌 5인. 프리데뷔 싱글 'POKER FACE', 2026.11 도쿄·오사카 공연 추진. 日 YOANI 3억엔 투자. (한국일보 2026.9.9)</t>
        </is>
      </c>
    </row>
    <row r="18">
      <c r="A18" s="101" t="inlineStr">
        <is>
          <t>STUN-X (우주아이돌리그)</t>
        </is>
      </c>
      <c r="B18" s="100" t="inlineStr">
        <is>
          <t>밀리언볼트(애니 스튜디오)</t>
        </is>
      </c>
      <c r="C18" s="101" t="inlineStr">
        <is>
          <t>데뷔 예정</t>
        </is>
      </c>
      <c r="D18" s="100" t="inlineStr">
        <is>
          <t>2026.10.2</t>
        </is>
      </c>
      <c r="E18" s="66" t="inlineStr">
        <is>
          <t>2D 버추얼 아이돌 IP. 웹소설 2026.9.10 카카오페이지 연재, 10.2 첫 디지털 싱글 예정. 캐릭터 콘텐츠 누적 2,000만뷰. (MBN 2026.9.11)</t>
        </is>
      </c>
    </row>
    <row r="19">
      <c r="A19" s="101" t="inlineStr">
        <is>
          <t>WINKX (윙스)</t>
        </is>
      </c>
      <c r="B19" s="100" t="inlineStr">
        <is>
          <t>타이탄콘텐츠 × 대원미디어</t>
        </is>
      </c>
      <c r="C19" s="101" t="inlineStr">
        <is>
          <t>데뷔 예정(MOU 단계)</t>
        </is>
      </c>
      <c r="D19" s="100" t="inlineStr">
        <is>
          <t>미확인</t>
        </is>
      </c>
      <c r="E19" s="66" t="inlineStr">
        <is>
          <t>360도 글로벌 IP(음악·만화·애니) 공동사업. 모션캡처 대원 자회사 이엠피. 일정 미확인. (스타뉴스 2026.4.15)</t>
        </is>
      </c>
    </row>
    <row r="20">
      <c r="A20" s="101" t="inlineStr">
        <is>
          <t>레드소다써클 (Red Soda Circle)</t>
        </is>
      </c>
      <c r="B20" s="100" t="inlineStr">
        <is>
          <t>코드판타지아</t>
        </is>
      </c>
      <c r="C20" s="101" t="inlineStr">
        <is>
          <t>프리데뷔</t>
        </is>
      </c>
      <c r="D20" s="100" t="inlineStr">
        <is>
          <t>2025.12.22</t>
        </is>
      </c>
      <c r="E20" s="66" t="inlineStr">
        <is>
          <t>※실사+버추얼 병행 하이브리드('리얼 라이프 듀얼 포맷'). 한일 2인조(리나·하루). 2025.12.22 첫 버추얼 라이브. (스포츠경향 2025.12.22)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2026-06-06T05:51:24Z</dcterms:created>
  <dcterms:modified xmlns:dcterms="http://purl.org/dc/terms/" xmlns:xsi="http://www.w3.org/2001/XMLSchema-instance" xsi:type="dcterms:W3CDTF">2026-09-12T01:42:26Z</dcterms:modified>
  <cp:revision>0</cp:revision>
</cp:coreProperties>
</file>